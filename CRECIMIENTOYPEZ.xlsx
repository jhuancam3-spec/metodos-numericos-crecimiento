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ahu\OneDrive\Escritorio\PEZYCRE\"/>
    </mc:Choice>
  </mc:AlternateContent>
  <xr:revisionPtr revIDLastSave="0" documentId="13_ncr:1_{295DF361-2D09-4E2C-B27F-1B42E81CE678}" xr6:coauthVersionLast="47" xr6:coauthVersionMax="47" xr10:uidLastSave="{00000000-0000-0000-0000-000000000000}"/>
  <bookViews>
    <workbookView xWindow="3240" yWindow="510" windowWidth="11895" windowHeight="10290" xr2:uid="{5137FD98-07FA-49DC-963F-93A2EDD941F4}"/>
  </bookViews>
  <sheets>
    <sheet name="EJERCICIO35-PEZ" sheetId="1" r:id="rId1"/>
    <sheet name="EJERCCICIO41-CRECIMIENT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6" i="2" l="1"/>
  <c r="S17" i="2" s="1"/>
  <c r="S18" i="2" s="1"/>
  <c r="S19" i="2" s="1"/>
  <c r="S20" i="2" s="1"/>
  <c r="S21" i="2" s="1"/>
  <c r="S22" i="2" s="1"/>
  <c r="S23" i="2" s="1"/>
  <c r="S24" i="2" s="1"/>
  <c r="S25" i="2" s="1"/>
  <c r="S26" i="2" s="1"/>
  <c r="S27" i="2" s="1"/>
  <c r="S28" i="2" s="1"/>
  <c r="S29" i="2" s="1"/>
  <c r="S30" i="2" s="1"/>
  <c r="S31" i="2" s="1"/>
  <c r="S32" i="2" s="1"/>
  <c r="S33" i="2" s="1"/>
  <c r="S34" i="2" s="1"/>
  <c r="S35" i="2" s="1"/>
  <c r="S36" i="2" s="1"/>
  <c r="S37" i="2" s="1"/>
  <c r="S38" i="2" s="1"/>
  <c r="S39" i="2" s="1"/>
  <c r="S40" i="2" s="1"/>
  <c r="S41" i="2" s="1"/>
  <c r="S42" i="2" s="1"/>
  <c r="S43" i="2" s="1"/>
  <c r="S44" i="2" s="1"/>
  <c r="S45" i="2" s="1"/>
  <c r="S46" i="2" s="1"/>
  <c r="S47" i="2" s="1"/>
  <c r="S48" i="2" s="1"/>
  <c r="S49" i="2" s="1"/>
  <c r="S50" i="2" s="1"/>
  <c r="S51" i="2" s="1"/>
  <c r="S52" i="2" s="1"/>
  <c r="S53" i="2" s="1"/>
  <c r="S54" i="2" s="1"/>
  <c r="S55" i="2" s="1"/>
  <c r="S56" i="2" s="1"/>
  <c r="S57" i="2" s="1"/>
  <c r="S58" i="2" s="1"/>
  <c r="S59" i="2" s="1"/>
  <c r="S60" i="2" s="1"/>
  <c r="S61" i="2" s="1"/>
  <c r="S62" i="2" s="1"/>
  <c r="S63" i="2" s="1"/>
  <c r="S64" i="2" s="1"/>
  <c r="S65" i="2" s="1"/>
  <c r="S66" i="2" s="1"/>
  <c r="S67" i="2" s="1"/>
  <c r="S68" i="2" s="1"/>
  <c r="S69" i="2" s="1"/>
  <c r="S70" i="2" s="1"/>
  <c r="S71" i="2" s="1"/>
  <c r="S72" i="2" s="1"/>
  <c r="S73" i="2" s="1"/>
  <c r="S74" i="2" s="1"/>
  <c r="S75" i="2" s="1"/>
  <c r="S76" i="2" s="1"/>
  <c r="S77" i="2" s="1"/>
  <c r="S78" i="2" s="1"/>
  <c r="S79" i="2" s="1"/>
  <c r="S80" i="2" s="1"/>
  <c r="S81" i="2" s="1"/>
  <c r="S82" i="2" s="1"/>
  <c r="S83" i="2" s="1"/>
  <c r="S84" i="2" s="1"/>
  <c r="S85" i="2" s="1"/>
  <c r="S86" i="2" s="1"/>
  <c r="S87" i="2" s="1"/>
  <c r="S88" i="2" s="1"/>
  <c r="S89" i="2" s="1"/>
  <c r="S90" i="2" s="1"/>
  <c r="S91" i="2" s="1"/>
  <c r="S92" i="2" s="1"/>
  <c r="S93" i="2" s="1"/>
  <c r="S94" i="2" s="1"/>
  <c r="S95" i="2" s="1"/>
  <c r="S96" i="2" s="1"/>
  <c r="S97" i="2" s="1"/>
  <c r="S98" i="2" s="1"/>
  <c r="S99" i="2" s="1"/>
  <c r="S100" i="2" s="1"/>
  <c r="S101" i="2" s="1"/>
  <c r="S102" i="2" s="1"/>
  <c r="S103" i="2" s="1"/>
  <c r="S104" i="2" s="1"/>
  <c r="S105" i="2" s="1"/>
  <c r="S106" i="2" s="1"/>
  <c r="S107" i="2" s="1"/>
  <c r="S108" i="2" s="1"/>
  <c r="S109" i="2" s="1"/>
  <c r="S110" i="2" s="1"/>
  <c r="S111" i="2" s="1"/>
  <c r="S112" i="2" s="1"/>
  <c r="S113" i="2" s="1"/>
  <c r="S114" i="2" s="1"/>
  <c r="S115" i="2" s="1"/>
  <c r="S116" i="2" s="1"/>
  <c r="S117" i="2" s="1"/>
  <c r="S118" i="2" s="1"/>
  <c r="S119" i="2" s="1"/>
  <c r="S120" i="2" s="1"/>
  <c r="S121" i="2" s="1"/>
  <c r="S122" i="2" s="1"/>
  <c r="S123" i="2" s="1"/>
  <c r="S124" i="2" s="1"/>
  <c r="S125" i="2" s="1"/>
  <c r="S126" i="2" s="1"/>
  <c r="S127" i="2" s="1"/>
  <c r="S128" i="2" s="1"/>
  <c r="S129" i="2" s="1"/>
  <c r="S130" i="2" s="1"/>
  <c r="S131" i="2" s="1"/>
  <c r="S132" i="2" s="1"/>
  <c r="S133" i="2" s="1"/>
  <c r="S134" i="2" s="1"/>
  <c r="S135" i="2" s="1"/>
  <c r="S136" i="2" s="1"/>
  <c r="S137" i="2" s="1"/>
  <c r="S138" i="2" s="1"/>
  <c r="S139" i="2" s="1"/>
  <c r="S140" i="2" s="1"/>
  <c r="S141" i="2" s="1"/>
  <c r="S142" i="2" s="1"/>
  <c r="S143" i="2" s="1"/>
  <c r="S144" i="2" s="1"/>
  <c r="S145" i="2" s="1"/>
  <c r="S146" i="2" s="1"/>
  <c r="S147" i="2" s="1"/>
  <c r="S148" i="2" s="1"/>
  <c r="S149" i="2" s="1"/>
  <c r="S150" i="2" s="1"/>
  <c r="S151" i="2" s="1"/>
  <c r="S152" i="2" s="1"/>
  <c r="S153" i="2" s="1"/>
  <c r="S154" i="2" s="1"/>
  <c r="S155" i="2" s="1"/>
  <c r="S156" i="2" s="1"/>
  <c r="S157" i="2" s="1"/>
  <c r="S158" i="2" s="1"/>
  <c r="S159" i="2" s="1"/>
  <c r="S160" i="2" s="1"/>
  <c r="S161" i="2" s="1"/>
  <c r="S162" i="2" s="1"/>
  <c r="S163" i="2" s="1"/>
  <c r="S164" i="2" s="1"/>
  <c r="S165" i="2" s="1"/>
  <c r="S166" i="2" s="1"/>
  <c r="S167" i="2" s="1"/>
  <c r="S168" i="2" s="1"/>
  <c r="S169" i="2" s="1"/>
  <c r="S170" i="2" s="1"/>
  <c r="S171" i="2" s="1"/>
  <c r="S172" i="2" s="1"/>
  <c r="S173" i="2" s="1"/>
  <c r="S174" i="2" s="1"/>
  <c r="S175" i="2" s="1"/>
  <c r="S176" i="2" s="1"/>
  <c r="S177" i="2" s="1"/>
  <c r="S178" i="2" s="1"/>
  <c r="S179" i="2" s="1"/>
  <c r="S180" i="2" s="1"/>
  <c r="S181" i="2" s="1"/>
  <c r="S182" i="2" s="1"/>
  <c r="S183" i="2" s="1"/>
  <c r="S184" i="2" s="1"/>
  <c r="S185" i="2" s="1"/>
  <c r="S186" i="2" s="1"/>
  <c r="S187" i="2" s="1"/>
  <c r="S188" i="2" s="1"/>
  <c r="S189" i="2" s="1"/>
  <c r="S190" i="2" s="1"/>
  <c r="S191" i="2" s="1"/>
  <c r="S192" i="2" s="1"/>
  <c r="S193" i="2" s="1"/>
  <c r="S194" i="2" s="1"/>
  <c r="S195" i="2" s="1"/>
  <c r="S196" i="2" s="1"/>
  <c r="S197" i="2" s="1"/>
  <c r="S198" i="2" s="1"/>
  <c r="S199" i="2" s="1"/>
  <c r="S200" i="2" s="1"/>
  <c r="S201" i="2" s="1"/>
  <c r="S202" i="2" s="1"/>
  <c r="S203" i="2" s="1"/>
  <c r="S204" i="2" s="1"/>
  <c r="S205" i="2" s="1"/>
  <c r="S206" i="2" s="1"/>
  <c r="S207" i="2" s="1"/>
  <c r="S208" i="2" s="1"/>
  <c r="S209" i="2" s="1"/>
  <c r="S210" i="2" s="1"/>
  <c r="S211" i="2" s="1"/>
  <c r="S212" i="2" s="1"/>
  <c r="S213" i="2" s="1"/>
  <c r="S214" i="2" s="1"/>
  <c r="S215" i="2" s="1"/>
  <c r="S216" i="2" s="1"/>
  <c r="S217" i="2" s="1"/>
  <c r="S218" i="2" s="1"/>
  <c r="S219" i="2" s="1"/>
  <c r="S220" i="2" s="1"/>
  <c r="S221" i="2" s="1"/>
  <c r="S222" i="2" s="1"/>
  <c r="S223" i="2" s="1"/>
  <c r="S224" i="2" s="1"/>
  <c r="S225" i="2" s="1"/>
  <c r="S226" i="2" s="1"/>
  <c r="S227" i="2" s="1"/>
  <c r="S228" i="2" s="1"/>
  <c r="S229" i="2" s="1"/>
  <c r="S230" i="2" s="1"/>
  <c r="S231" i="2" s="1"/>
  <c r="S232" i="2" s="1"/>
  <c r="S233" i="2" s="1"/>
  <c r="S234" i="2" s="1"/>
  <c r="S235" i="2" s="1"/>
  <c r="S236" i="2" s="1"/>
  <c r="S237" i="2" s="1"/>
  <c r="S238" i="2" s="1"/>
  <c r="S239" i="2" s="1"/>
  <c r="S240" i="2" s="1"/>
  <c r="S241" i="2" s="1"/>
  <c r="S242" i="2" s="1"/>
  <c r="S243" i="2" s="1"/>
  <c r="S244" i="2" s="1"/>
  <c r="S245" i="2" s="1"/>
  <c r="S246" i="2" s="1"/>
  <c r="S247" i="2" s="1"/>
  <c r="S248" i="2" s="1"/>
  <c r="S249" i="2" s="1"/>
  <c r="S250" i="2" s="1"/>
  <c r="S251" i="2" s="1"/>
  <c r="S252" i="2" s="1"/>
  <c r="S253" i="2" s="1"/>
  <c r="S254" i="2" s="1"/>
  <c r="S255" i="2" s="1"/>
  <c r="S256" i="2" s="1"/>
  <c r="S257" i="2" s="1"/>
  <c r="S258" i="2" s="1"/>
  <c r="S259" i="2" s="1"/>
  <c r="S260" i="2" s="1"/>
  <c r="S261" i="2" s="1"/>
  <c r="S262" i="2" s="1"/>
  <c r="S263" i="2" s="1"/>
  <c r="S264" i="2" s="1"/>
  <c r="S265" i="2" s="1"/>
  <c r="S266" i="2" s="1"/>
  <c r="S267" i="2" s="1"/>
  <c r="S268" i="2" s="1"/>
  <c r="S269" i="2" s="1"/>
  <c r="S270" i="2" s="1"/>
  <c r="S271" i="2" s="1"/>
  <c r="S272" i="2" s="1"/>
  <c r="S273" i="2" s="1"/>
  <c r="S274" i="2" s="1"/>
  <c r="S275" i="2" s="1"/>
  <c r="S276" i="2" s="1"/>
  <c r="S277" i="2" s="1"/>
  <c r="S278" i="2" s="1"/>
  <c r="S279" i="2" s="1"/>
  <c r="S280" i="2" s="1"/>
  <c r="S281" i="2" s="1"/>
  <c r="S282" i="2" s="1"/>
  <c r="S283" i="2" s="1"/>
  <c r="S284" i="2" s="1"/>
  <c r="S285" i="2" s="1"/>
  <c r="S286" i="2" s="1"/>
  <c r="S287" i="2" s="1"/>
  <c r="S288" i="2" s="1"/>
  <c r="S289" i="2" s="1"/>
  <c r="S290" i="2" s="1"/>
  <c r="S291" i="2" s="1"/>
  <c r="S292" i="2" s="1"/>
  <c r="S293" i="2" s="1"/>
  <c r="S294" i="2" s="1"/>
  <c r="S295" i="2" s="1"/>
  <c r="S296" i="2" s="1"/>
  <c r="S297" i="2" s="1"/>
  <c r="S298" i="2" s="1"/>
  <c r="S299" i="2" s="1"/>
  <c r="S300" i="2" s="1"/>
  <c r="S301" i="2" s="1"/>
  <c r="S302" i="2" s="1"/>
  <c r="S303" i="2" s="1"/>
  <c r="S304" i="2" s="1"/>
  <c r="S305" i="2" s="1"/>
  <c r="S306" i="2" s="1"/>
  <c r="S307" i="2" s="1"/>
  <c r="S308" i="2" s="1"/>
  <c r="S309" i="2" s="1"/>
  <c r="S310" i="2" s="1"/>
  <c r="S311" i="2" s="1"/>
  <c r="S312" i="2" s="1"/>
  <c r="S313" i="2" s="1"/>
  <c r="S314" i="2" s="1"/>
  <c r="S315" i="2" s="1"/>
  <c r="S316" i="2" s="1"/>
  <c r="S317" i="2" s="1"/>
  <c r="S318" i="2" s="1"/>
  <c r="S319" i="2" s="1"/>
  <c r="S320" i="2" s="1"/>
  <c r="S321" i="2" s="1"/>
  <c r="S322" i="2" s="1"/>
  <c r="S323" i="2" s="1"/>
  <c r="S324" i="2" s="1"/>
  <c r="S325" i="2" s="1"/>
  <c r="S326" i="2" s="1"/>
  <c r="S327" i="2" s="1"/>
  <c r="S328" i="2" s="1"/>
  <c r="S329" i="2" s="1"/>
  <c r="S330" i="2" s="1"/>
  <c r="S331" i="2" s="1"/>
  <c r="S332" i="2" s="1"/>
  <c r="S333" i="2" s="1"/>
  <c r="S334" i="2" s="1"/>
  <c r="S335" i="2" s="1"/>
  <c r="S336" i="2" s="1"/>
  <c r="S337" i="2" s="1"/>
  <c r="S338" i="2" s="1"/>
  <c r="S339" i="2" s="1"/>
  <c r="S340" i="2" s="1"/>
  <c r="S341" i="2" s="1"/>
  <c r="S342" i="2" s="1"/>
  <c r="S343" i="2" s="1"/>
  <c r="S344" i="2" s="1"/>
  <c r="S345" i="2" s="1"/>
  <c r="S346" i="2" s="1"/>
  <c r="S347" i="2" s="1"/>
  <c r="S348" i="2" s="1"/>
  <c r="S349" i="2" s="1"/>
  <c r="S350" i="2" s="1"/>
  <c r="S351" i="2" s="1"/>
  <c r="S352" i="2" s="1"/>
  <c r="S353" i="2" s="1"/>
  <c r="S354" i="2" s="1"/>
  <c r="S355" i="2" s="1"/>
  <c r="S356" i="2" s="1"/>
  <c r="S357" i="2" s="1"/>
  <c r="S358" i="2" s="1"/>
  <c r="S359" i="2" s="1"/>
  <c r="S360" i="2" s="1"/>
  <c r="S361" i="2" s="1"/>
  <c r="S362" i="2" s="1"/>
  <c r="S363" i="2" s="1"/>
  <c r="S364" i="2" s="1"/>
  <c r="S365" i="2" s="1"/>
  <c r="S366" i="2" s="1"/>
  <c r="S367" i="2" s="1"/>
  <c r="S368" i="2" s="1"/>
  <c r="S369" i="2" s="1"/>
  <c r="S370" i="2" s="1"/>
  <c r="S371" i="2" s="1"/>
  <c r="S372" i="2" s="1"/>
  <c r="S373" i="2" s="1"/>
  <c r="S374" i="2" s="1"/>
  <c r="S375" i="2" s="1"/>
  <c r="S376" i="2" s="1"/>
  <c r="S377" i="2" s="1"/>
  <c r="S378" i="2" s="1"/>
  <c r="S379" i="2" s="1"/>
  <c r="S380" i="2" s="1"/>
  <c r="S381" i="2" s="1"/>
  <c r="S382" i="2" s="1"/>
  <c r="S383" i="2" s="1"/>
  <c r="S384" i="2" s="1"/>
  <c r="S385" i="2" s="1"/>
  <c r="S386" i="2" s="1"/>
  <c r="S387" i="2" s="1"/>
  <c r="S388" i="2" s="1"/>
  <c r="S389" i="2" s="1"/>
  <c r="S390" i="2" s="1"/>
  <c r="S391" i="2" s="1"/>
  <c r="S392" i="2" s="1"/>
  <c r="S393" i="2" s="1"/>
  <c r="S394" i="2" s="1"/>
  <c r="S395" i="2" s="1"/>
  <c r="S396" i="2" s="1"/>
  <c r="S397" i="2" s="1"/>
  <c r="S398" i="2" s="1"/>
  <c r="S399" i="2" s="1"/>
  <c r="S400" i="2" s="1"/>
  <c r="S401" i="2" s="1"/>
  <c r="S402" i="2" s="1"/>
  <c r="S403" i="2" s="1"/>
  <c r="S404" i="2" s="1"/>
  <c r="S405" i="2" s="1"/>
  <c r="S406" i="2" s="1"/>
  <c r="S407" i="2" s="1"/>
  <c r="S408" i="2" s="1"/>
  <c r="S409" i="2" s="1"/>
  <c r="S410" i="2" s="1"/>
  <c r="S411" i="2" s="1"/>
  <c r="S412" i="2" s="1"/>
  <c r="S413" i="2" s="1"/>
  <c r="S414" i="2" s="1"/>
  <c r="S415" i="2" s="1"/>
  <c r="V15" i="2"/>
  <c r="L16" i="2" l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L35" i="2" s="1"/>
  <c r="L36" i="2" s="1"/>
  <c r="L37" i="2" s="1"/>
  <c r="L38" i="2" s="1"/>
  <c r="L39" i="2" s="1"/>
  <c r="L40" i="2" s="1"/>
  <c r="L41" i="2" s="1"/>
  <c r="L42" i="2" s="1"/>
  <c r="L43" i="2" s="1"/>
  <c r="L44" i="2" s="1"/>
  <c r="L45" i="2" s="1"/>
  <c r="L46" i="2" s="1"/>
  <c r="L47" i="2" s="1"/>
  <c r="L48" i="2" s="1"/>
  <c r="L49" i="2" s="1"/>
  <c r="L50" i="2" s="1"/>
  <c r="L51" i="2" s="1"/>
  <c r="L52" i="2" s="1"/>
  <c r="L53" i="2" s="1"/>
  <c r="L54" i="2" s="1"/>
  <c r="L55" i="2" s="1"/>
  <c r="L56" i="2" s="1"/>
  <c r="L57" i="2" s="1"/>
  <c r="L58" i="2" s="1"/>
  <c r="L59" i="2" s="1"/>
  <c r="L60" i="2" s="1"/>
  <c r="L61" i="2" s="1"/>
  <c r="L62" i="2" s="1"/>
  <c r="L63" i="2" s="1"/>
  <c r="L64" i="2" s="1"/>
  <c r="L65" i="2" s="1"/>
  <c r="L66" i="2" s="1"/>
  <c r="L67" i="2" s="1"/>
  <c r="L68" i="2" s="1"/>
  <c r="L69" i="2" s="1"/>
  <c r="L70" i="2" s="1"/>
  <c r="L71" i="2" s="1"/>
  <c r="L72" i="2" s="1"/>
  <c r="L73" i="2" s="1"/>
  <c r="L74" i="2" s="1"/>
  <c r="L75" i="2" s="1"/>
  <c r="L76" i="2" s="1"/>
  <c r="L77" i="2" s="1"/>
  <c r="L78" i="2" s="1"/>
  <c r="L79" i="2" s="1"/>
  <c r="L80" i="2" s="1"/>
  <c r="L81" i="2" s="1"/>
  <c r="L82" i="2" s="1"/>
  <c r="L83" i="2" s="1"/>
  <c r="L84" i="2" s="1"/>
  <c r="L85" i="2" s="1"/>
  <c r="L86" i="2" s="1"/>
  <c r="L87" i="2" s="1"/>
  <c r="L88" i="2" s="1"/>
  <c r="L89" i="2" s="1"/>
  <c r="L90" i="2" s="1"/>
  <c r="L91" i="2" s="1"/>
  <c r="L92" i="2" s="1"/>
  <c r="L93" i="2" s="1"/>
  <c r="L94" i="2" s="1"/>
  <c r="L95" i="2" s="1"/>
  <c r="L96" i="2" s="1"/>
  <c r="L97" i="2" s="1"/>
  <c r="L98" i="2" s="1"/>
  <c r="L99" i="2" s="1"/>
  <c r="L100" i="2" s="1"/>
  <c r="L101" i="2" s="1"/>
  <c r="L102" i="2" s="1"/>
  <c r="L103" i="2" s="1"/>
  <c r="L104" i="2" s="1"/>
  <c r="L105" i="2" s="1"/>
  <c r="L106" i="2" s="1"/>
  <c r="L107" i="2" s="1"/>
  <c r="L108" i="2" s="1"/>
  <c r="L109" i="2" s="1"/>
  <c r="L110" i="2" s="1"/>
  <c r="L111" i="2" s="1"/>
  <c r="L112" i="2" s="1"/>
  <c r="L113" i="2" s="1"/>
  <c r="L114" i="2" s="1"/>
  <c r="L115" i="2" s="1"/>
  <c r="L116" i="2" s="1"/>
  <c r="L117" i="2" s="1"/>
  <c r="L118" i="2" s="1"/>
  <c r="L119" i="2" s="1"/>
  <c r="L120" i="2" s="1"/>
  <c r="L121" i="2" s="1"/>
  <c r="L122" i="2" s="1"/>
  <c r="L123" i="2" s="1"/>
  <c r="L124" i="2" s="1"/>
  <c r="L125" i="2" s="1"/>
  <c r="L126" i="2" s="1"/>
  <c r="L127" i="2" s="1"/>
  <c r="L128" i="2" s="1"/>
  <c r="L129" i="2" s="1"/>
  <c r="L130" i="2" s="1"/>
  <c r="L131" i="2" s="1"/>
  <c r="L132" i="2" s="1"/>
  <c r="L133" i="2" s="1"/>
  <c r="L134" i="2" s="1"/>
  <c r="L135" i="2" s="1"/>
  <c r="L136" i="2" s="1"/>
  <c r="L137" i="2" s="1"/>
  <c r="L138" i="2" s="1"/>
  <c r="L139" i="2" s="1"/>
  <c r="L140" i="2" s="1"/>
  <c r="L141" i="2" s="1"/>
  <c r="L142" i="2" s="1"/>
  <c r="L143" i="2" s="1"/>
  <c r="L144" i="2" s="1"/>
  <c r="L145" i="2" s="1"/>
  <c r="L146" i="2" s="1"/>
  <c r="L147" i="2" s="1"/>
  <c r="L148" i="2" s="1"/>
  <c r="L149" i="2" s="1"/>
  <c r="L150" i="2" s="1"/>
  <c r="L151" i="2" s="1"/>
  <c r="L152" i="2" s="1"/>
  <c r="L153" i="2" s="1"/>
  <c r="L154" i="2" s="1"/>
  <c r="L155" i="2" s="1"/>
  <c r="L156" i="2" s="1"/>
  <c r="L157" i="2" s="1"/>
  <c r="L158" i="2" s="1"/>
  <c r="L159" i="2" s="1"/>
  <c r="L160" i="2" s="1"/>
  <c r="L161" i="2" s="1"/>
  <c r="L162" i="2" s="1"/>
  <c r="L163" i="2" s="1"/>
  <c r="L164" i="2" s="1"/>
  <c r="L165" i="2" s="1"/>
  <c r="L166" i="2" s="1"/>
  <c r="L167" i="2" s="1"/>
  <c r="L168" i="2" s="1"/>
  <c r="L169" i="2" s="1"/>
  <c r="L170" i="2" s="1"/>
  <c r="L171" i="2" s="1"/>
  <c r="L172" i="2" s="1"/>
  <c r="L173" i="2" s="1"/>
  <c r="L174" i="2" s="1"/>
  <c r="L175" i="2" s="1"/>
  <c r="L176" i="2" s="1"/>
  <c r="L177" i="2" s="1"/>
  <c r="L178" i="2" s="1"/>
  <c r="L179" i="2" s="1"/>
  <c r="L180" i="2" s="1"/>
  <c r="L181" i="2" s="1"/>
  <c r="L182" i="2" s="1"/>
  <c r="L183" i="2" s="1"/>
  <c r="L184" i="2" s="1"/>
  <c r="L185" i="2" s="1"/>
  <c r="L186" i="2" s="1"/>
  <c r="L187" i="2" s="1"/>
  <c r="L188" i="2" s="1"/>
  <c r="L189" i="2" s="1"/>
  <c r="L190" i="2" s="1"/>
  <c r="L191" i="2" s="1"/>
  <c r="L192" i="2" s="1"/>
  <c r="L193" i="2" s="1"/>
  <c r="L194" i="2" s="1"/>
  <c r="L195" i="2" s="1"/>
  <c r="L196" i="2" s="1"/>
  <c r="L197" i="2" s="1"/>
  <c r="L198" i="2" s="1"/>
  <c r="L199" i="2" s="1"/>
  <c r="L200" i="2" s="1"/>
  <c r="L201" i="2" s="1"/>
  <c r="L202" i="2" s="1"/>
  <c r="L203" i="2" s="1"/>
  <c r="L204" i="2" s="1"/>
  <c r="L205" i="2" s="1"/>
  <c r="L206" i="2" s="1"/>
  <c r="L207" i="2" s="1"/>
  <c r="L208" i="2" s="1"/>
  <c r="L209" i="2" s="1"/>
  <c r="L210" i="2" s="1"/>
  <c r="L211" i="2" s="1"/>
  <c r="L212" i="2" s="1"/>
  <c r="L213" i="2" s="1"/>
  <c r="L214" i="2" s="1"/>
  <c r="L215" i="2" s="1"/>
  <c r="L216" i="2" s="1"/>
  <c r="L217" i="2" s="1"/>
  <c r="L218" i="2" s="1"/>
  <c r="L219" i="2" s="1"/>
  <c r="L220" i="2" s="1"/>
  <c r="L221" i="2" s="1"/>
  <c r="L222" i="2" s="1"/>
  <c r="L223" i="2" s="1"/>
  <c r="L224" i="2" s="1"/>
  <c r="L225" i="2" s="1"/>
  <c r="L226" i="2" s="1"/>
  <c r="L227" i="2" s="1"/>
  <c r="L228" i="2" s="1"/>
  <c r="L229" i="2" s="1"/>
  <c r="L230" i="2" s="1"/>
  <c r="L231" i="2" s="1"/>
  <c r="L232" i="2" s="1"/>
  <c r="L233" i="2" s="1"/>
  <c r="L234" i="2" s="1"/>
  <c r="L235" i="2" s="1"/>
  <c r="L236" i="2" s="1"/>
  <c r="L237" i="2" s="1"/>
  <c r="L238" i="2" s="1"/>
  <c r="L239" i="2" s="1"/>
  <c r="L240" i="2" s="1"/>
  <c r="L241" i="2" s="1"/>
  <c r="L242" i="2" s="1"/>
  <c r="L243" i="2" s="1"/>
  <c r="L244" i="2" s="1"/>
  <c r="L245" i="2" s="1"/>
  <c r="L246" i="2" s="1"/>
  <c r="L247" i="2" s="1"/>
  <c r="L248" i="2" s="1"/>
  <c r="L249" i="2" s="1"/>
  <c r="L250" i="2" s="1"/>
  <c r="L251" i="2" s="1"/>
  <c r="L252" i="2" s="1"/>
  <c r="L253" i="2" s="1"/>
  <c r="L254" i="2" s="1"/>
  <c r="L255" i="2" s="1"/>
  <c r="L256" i="2" s="1"/>
  <c r="L257" i="2" s="1"/>
  <c r="L258" i="2" s="1"/>
  <c r="L259" i="2" s="1"/>
  <c r="L260" i="2" s="1"/>
  <c r="L261" i="2" s="1"/>
  <c r="L262" i="2" s="1"/>
  <c r="L263" i="2" s="1"/>
  <c r="L264" i="2" s="1"/>
  <c r="L265" i="2" s="1"/>
  <c r="L266" i="2" s="1"/>
  <c r="L267" i="2" s="1"/>
  <c r="L268" i="2" s="1"/>
  <c r="L269" i="2" s="1"/>
  <c r="L270" i="2" s="1"/>
  <c r="L271" i="2" s="1"/>
  <c r="L272" i="2" s="1"/>
  <c r="L273" i="2" s="1"/>
  <c r="L274" i="2" s="1"/>
  <c r="L275" i="2" s="1"/>
  <c r="L276" i="2" s="1"/>
  <c r="L277" i="2" s="1"/>
  <c r="L278" i="2" s="1"/>
  <c r="L279" i="2" s="1"/>
  <c r="L280" i="2" s="1"/>
  <c r="L281" i="2" s="1"/>
  <c r="L282" i="2" s="1"/>
  <c r="L283" i="2" s="1"/>
  <c r="L284" i="2" s="1"/>
  <c r="L285" i="2" s="1"/>
  <c r="L286" i="2" s="1"/>
  <c r="L287" i="2" s="1"/>
  <c r="L288" i="2" s="1"/>
  <c r="L289" i="2" s="1"/>
  <c r="L290" i="2" s="1"/>
  <c r="L291" i="2" s="1"/>
  <c r="L292" i="2" s="1"/>
  <c r="L293" i="2" s="1"/>
  <c r="L294" i="2" s="1"/>
  <c r="L295" i="2" s="1"/>
  <c r="L296" i="2" s="1"/>
  <c r="L297" i="2" s="1"/>
  <c r="L298" i="2" s="1"/>
  <c r="L299" i="2" s="1"/>
  <c r="L300" i="2" s="1"/>
  <c r="L301" i="2" s="1"/>
  <c r="L302" i="2" s="1"/>
  <c r="L303" i="2" s="1"/>
  <c r="L304" i="2" s="1"/>
  <c r="L305" i="2" s="1"/>
  <c r="L306" i="2" s="1"/>
  <c r="L307" i="2" s="1"/>
  <c r="L308" i="2" s="1"/>
  <c r="L309" i="2" s="1"/>
  <c r="L310" i="2" s="1"/>
  <c r="L311" i="2" s="1"/>
  <c r="L312" i="2" s="1"/>
  <c r="L313" i="2" s="1"/>
  <c r="L314" i="2" s="1"/>
  <c r="L315" i="2" s="1"/>
  <c r="L316" i="2" s="1"/>
  <c r="L317" i="2" s="1"/>
  <c r="L318" i="2" s="1"/>
  <c r="L319" i="2" s="1"/>
  <c r="L320" i="2" s="1"/>
  <c r="L321" i="2" s="1"/>
  <c r="L322" i="2" s="1"/>
  <c r="L323" i="2" s="1"/>
  <c r="L324" i="2" s="1"/>
  <c r="L325" i="2" s="1"/>
  <c r="L326" i="2" s="1"/>
  <c r="L327" i="2" s="1"/>
  <c r="L328" i="2" s="1"/>
  <c r="L329" i="2" s="1"/>
  <c r="L330" i="2" s="1"/>
  <c r="L331" i="2" s="1"/>
  <c r="L332" i="2" s="1"/>
  <c r="L333" i="2" s="1"/>
  <c r="L334" i="2" s="1"/>
  <c r="L335" i="2" s="1"/>
  <c r="L336" i="2" s="1"/>
  <c r="L337" i="2" s="1"/>
  <c r="L338" i="2" s="1"/>
  <c r="L339" i="2" s="1"/>
  <c r="L340" i="2" s="1"/>
  <c r="L341" i="2" s="1"/>
  <c r="L342" i="2" s="1"/>
  <c r="L343" i="2" s="1"/>
  <c r="L344" i="2" s="1"/>
  <c r="L345" i="2" s="1"/>
  <c r="L346" i="2" s="1"/>
  <c r="L347" i="2" s="1"/>
  <c r="L348" i="2" s="1"/>
  <c r="L349" i="2" s="1"/>
  <c r="L350" i="2" s="1"/>
  <c r="L351" i="2" s="1"/>
  <c r="L352" i="2" s="1"/>
  <c r="L353" i="2" s="1"/>
  <c r="L354" i="2" s="1"/>
  <c r="L355" i="2" s="1"/>
  <c r="L356" i="2" s="1"/>
  <c r="L357" i="2" s="1"/>
  <c r="L358" i="2" s="1"/>
  <c r="L359" i="2" s="1"/>
  <c r="L360" i="2" s="1"/>
  <c r="L361" i="2" s="1"/>
  <c r="L362" i="2" s="1"/>
  <c r="L363" i="2" s="1"/>
  <c r="L364" i="2" s="1"/>
  <c r="L365" i="2" s="1"/>
  <c r="L366" i="2" s="1"/>
  <c r="L367" i="2" s="1"/>
  <c r="L368" i="2" s="1"/>
  <c r="L369" i="2" s="1"/>
  <c r="L370" i="2" s="1"/>
  <c r="L371" i="2" s="1"/>
  <c r="L372" i="2" s="1"/>
  <c r="L373" i="2" s="1"/>
  <c r="L374" i="2" s="1"/>
  <c r="L375" i="2" s="1"/>
  <c r="L376" i="2" s="1"/>
  <c r="L377" i="2" s="1"/>
  <c r="L378" i="2" s="1"/>
  <c r="L379" i="2" s="1"/>
  <c r="L380" i="2" s="1"/>
  <c r="L381" i="2" s="1"/>
  <c r="L382" i="2" s="1"/>
  <c r="L383" i="2" s="1"/>
  <c r="L384" i="2" s="1"/>
  <c r="L385" i="2" s="1"/>
  <c r="L386" i="2" s="1"/>
  <c r="L387" i="2" s="1"/>
  <c r="L388" i="2" s="1"/>
  <c r="L389" i="2" s="1"/>
  <c r="L390" i="2" s="1"/>
  <c r="L391" i="2" s="1"/>
  <c r="L392" i="2" s="1"/>
  <c r="L393" i="2" s="1"/>
  <c r="L394" i="2" s="1"/>
  <c r="L395" i="2" s="1"/>
  <c r="L396" i="2" s="1"/>
  <c r="L397" i="2" s="1"/>
  <c r="L398" i="2" s="1"/>
  <c r="L399" i="2" s="1"/>
  <c r="L400" i="2" s="1"/>
  <c r="L401" i="2" s="1"/>
  <c r="L402" i="2" s="1"/>
  <c r="L403" i="2" s="1"/>
  <c r="L404" i="2" s="1"/>
  <c r="L405" i="2" s="1"/>
  <c r="L406" i="2" s="1"/>
  <c r="L407" i="2" s="1"/>
  <c r="L408" i="2" s="1"/>
  <c r="L409" i="2" s="1"/>
  <c r="L410" i="2" s="1"/>
  <c r="L411" i="2" s="1"/>
  <c r="L412" i="2" s="1"/>
  <c r="L413" i="2" s="1"/>
  <c r="L414" i="2" s="1"/>
  <c r="L415" i="2" s="1"/>
  <c r="N15" i="2"/>
  <c r="G15" i="2"/>
  <c r="U15" i="2" s="1"/>
  <c r="X15" i="2" s="1"/>
  <c r="F15" i="2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F47" i="2" s="1"/>
  <c r="F48" i="2" s="1"/>
  <c r="F49" i="2" s="1"/>
  <c r="F50" i="2" s="1"/>
  <c r="F51" i="2" s="1"/>
  <c r="F52" i="2" s="1"/>
  <c r="F53" i="2" s="1"/>
  <c r="F54" i="2" s="1"/>
  <c r="F55" i="2" s="1"/>
  <c r="F56" i="2" s="1"/>
  <c r="F57" i="2" s="1"/>
  <c r="F58" i="2" s="1"/>
  <c r="F59" i="2" s="1"/>
  <c r="F60" i="2" s="1"/>
  <c r="F61" i="2" s="1"/>
  <c r="F62" i="2" s="1"/>
  <c r="F63" i="2" s="1"/>
  <c r="F64" i="2" s="1"/>
  <c r="F65" i="2" s="1"/>
  <c r="F66" i="2" s="1"/>
  <c r="F67" i="2" s="1"/>
  <c r="F68" i="2" s="1"/>
  <c r="F69" i="2" s="1"/>
  <c r="F70" i="2" s="1"/>
  <c r="F71" i="2" s="1"/>
  <c r="F72" i="2" s="1"/>
  <c r="F73" i="2" s="1"/>
  <c r="F74" i="2" s="1"/>
  <c r="F75" i="2" s="1"/>
  <c r="F76" i="2" s="1"/>
  <c r="F77" i="2" s="1"/>
  <c r="F78" i="2" s="1"/>
  <c r="F79" i="2" s="1"/>
  <c r="F80" i="2" s="1"/>
  <c r="F81" i="2" s="1"/>
  <c r="F82" i="2" s="1"/>
  <c r="F83" i="2" s="1"/>
  <c r="F84" i="2" s="1"/>
  <c r="F85" i="2" s="1"/>
  <c r="F86" i="2" s="1"/>
  <c r="F87" i="2" s="1"/>
  <c r="F88" i="2" s="1"/>
  <c r="F89" i="2" s="1"/>
  <c r="F90" i="2" s="1"/>
  <c r="F91" i="2" s="1"/>
  <c r="F92" i="2" s="1"/>
  <c r="F93" i="2" s="1"/>
  <c r="F94" i="2" s="1"/>
  <c r="F95" i="2" s="1"/>
  <c r="F96" i="2" s="1"/>
  <c r="F97" i="2" s="1"/>
  <c r="F98" i="2" s="1"/>
  <c r="F99" i="2" s="1"/>
  <c r="F100" i="2" s="1"/>
  <c r="F101" i="2" s="1"/>
  <c r="F102" i="2" s="1"/>
  <c r="F103" i="2" s="1"/>
  <c r="F104" i="2" s="1"/>
  <c r="F105" i="2" s="1"/>
  <c r="F106" i="2" s="1"/>
  <c r="F107" i="2" s="1"/>
  <c r="F108" i="2" s="1"/>
  <c r="F109" i="2" s="1"/>
  <c r="F110" i="2" s="1"/>
  <c r="F111" i="2" s="1"/>
  <c r="F112" i="2" s="1"/>
  <c r="F113" i="2" s="1"/>
  <c r="F114" i="2" s="1"/>
  <c r="F115" i="2" s="1"/>
  <c r="F116" i="2" s="1"/>
  <c r="F117" i="2" s="1"/>
  <c r="F118" i="2" s="1"/>
  <c r="F119" i="2" s="1"/>
  <c r="F120" i="2" s="1"/>
  <c r="F121" i="2" s="1"/>
  <c r="F122" i="2" s="1"/>
  <c r="F123" i="2" s="1"/>
  <c r="F124" i="2" s="1"/>
  <c r="F125" i="2" s="1"/>
  <c r="F126" i="2" s="1"/>
  <c r="F127" i="2" s="1"/>
  <c r="F128" i="2" s="1"/>
  <c r="F129" i="2" s="1"/>
  <c r="F130" i="2" s="1"/>
  <c r="F131" i="2" s="1"/>
  <c r="F132" i="2" s="1"/>
  <c r="F133" i="2" s="1"/>
  <c r="F134" i="2" s="1"/>
  <c r="F135" i="2" s="1"/>
  <c r="F136" i="2" s="1"/>
  <c r="F137" i="2" s="1"/>
  <c r="F138" i="2" s="1"/>
  <c r="F139" i="2" s="1"/>
  <c r="F140" i="2" s="1"/>
  <c r="F141" i="2" s="1"/>
  <c r="F142" i="2" s="1"/>
  <c r="F143" i="2" s="1"/>
  <c r="F144" i="2" s="1"/>
  <c r="F145" i="2" s="1"/>
  <c r="F146" i="2" s="1"/>
  <c r="F147" i="2" s="1"/>
  <c r="F148" i="2" s="1"/>
  <c r="F149" i="2" s="1"/>
  <c r="F150" i="2" s="1"/>
  <c r="F151" i="2" s="1"/>
  <c r="F152" i="2" s="1"/>
  <c r="F153" i="2" s="1"/>
  <c r="F154" i="2" s="1"/>
  <c r="F155" i="2" s="1"/>
  <c r="F156" i="2" s="1"/>
  <c r="F157" i="2" s="1"/>
  <c r="F158" i="2" s="1"/>
  <c r="F159" i="2" s="1"/>
  <c r="F160" i="2" s="1"/>
  <c r="F161" i="2" s="1"/>
  <c r="F162" i="2" s="1"/>
  <c r="F163" i="2" s="1"/>
  <c r="F164" i="2" s="1"/>
  <c r="F165" i="2" s="1"/>
  <c r="F166" i="2" s="1"/>
  <c r="F167" i="2" s="1"/>
  <c r="F168" i="2" s="1"/>
  <c r="F169" i="2" s="1"/>
  <c r="F170" i="2" s="1"/>
  <c r="F171" i="2" s="1"/>
  <c r="F172" i="2" s="1"/>
  <c r="F173" i="2" s="1"/>
  <c r="F174" i="2" s="1"/>
  <c r="F175" i="2" s="1"/>
  <c r="F176" i="2" s="1"/>
  <c r="F177" i="2" s="1"/>
  <c r="F178" i="2" s="1"/>
  <c r="F179" i="2" s="1"/>
  <c r="F180" i="2" s="1"/>
  <c r="F181" i="2" s="1"/>
  <c r="F182" i="2" s="1"/>
  <c r="F183" i="2" s="1"/>
  <c r="F184" i="2" s="1"/>
  <c r="F185" i="2" s="1"/>
  <c r="F186" i="2" s="1"/>
  <c r="F187" i="2" s="1"/>
  <c r="F188" i="2" s="1"/>
  <c r="F189" i="2" s="1"/>
  <c r="F190" i="2" s="1"/>
  <c r="F191" i="2" s="1"/>
  <c r="F192" i="2" s="1"/>
  <c r="F193" i="2" s="1"/>
  <c r="F194" i="2" s="1"/>
  <c r="F195" i="2" s="1"/>
  <c r="F196" i="2" s="1"/>
  <c r="F197" i="2" s="1"/>
  <c r="F198" i="2" s="1"/>
  <c r="F199" i="2" s="1"/>
  <c r="F200" i="2" s="1"/>
  <c r="F201" i="2" s="1"/>
  <c r="F202" i="2" s="1"/>
  <c r="F203" i="2" s="1"/>
  <c r="F204" i="2" s="1"/>
  <c r="F205" i="2" s="1"/>
  <c r="F206" i="2" s="1"/>
  <c r="F207" i="2" s="1"/>
  <c r="F208" i="2" s="1"/>
  <c r="F209" i="2" s="1"/>
  <c r="F210" i="2" s="1"/>
  <c r="F211" i="2" s="1"/>
  <c r="F212" i="2" s="1"/>
  <c r="F213" i="2" s="1"/>
  <c r="F214" i="2" s="1"/>
  <c r="F215" i="2" s="1"/>
  <c r="F216" i="2" s="1"/>
  <c r="F217" i="2" s="1"/>
  <c r="F218" i="2" s="1"/>
  <c r="F219" i="2" s="1"/>
  <c r="F220" i="2" s="1"/>
  <c r="F221" i="2" s="1"/>
  <c r="F222" i="2" s="1"/>
  <c r="F223" i="2" s="1"/>
  <c r="F224" i="2" s="1"/>
  <c r="F225" i="2" s="1"/>
  <c r="F226" i="2" s="1"/>
  <c r="F227" i="2" s="1"/>
  <c r="F228" i="2" s="1"/>
  <c r="F229" i="2" s="1"/>
  <c r="F230" i="2" s="1"/>
  <c r="F231" i="2" s="1"/>
  <c r="F232" i="2" s="1"/>
  <c r="F233" i="2" s="1"/>
  <c r="F234" i="2" s="1"/>
  <c r="F235" i="2" s="1"/>
  <c r="F236" i="2" s="1"/>
  <c r="F237" i="2" s="1"/>
  <c r="F238" i="2" s="1"/>
  <c r="F239" i="2" s="1"/>
  <c r="F240" i="2" s="1"/>
  <c r="F241" i="2" s="1"/>
  <c r="F242" i="2" s="1"/>
  <c r="F243" i="2" s="1"/>
  <c r="F244" i="2" s="1"/>
  <c r="F245" i="2" s="1"/>
  <c r="F246" i="2" s="1"/>
  <c r="F247" i="2" s="1"/>
  <c r="F248" i="2" s="1"/>
  <c r="F249" i="2" s="1"/>
  <c r="F250" i="2" s="1"/>
  <c r="F251" i="2" s="1"/>
  <c r="F252" i="2" s="1"/>
  <c r="F253" i="2" s="1"/>
  <c r="F254" i="2" s="1"/>
  <c r="F255" i="2" s="1"/>
  <c r="F256" i="2" s="1"/>
  <c r="F257" i="2" s="1"/>
  <c r="F258" i="2" s="1"/>
  <c r="F259" i="2" s="1"/>
  <c r="F260" i="2" s="1"/>
  <c r="F261" i="2" s="1"/>
  <c r="F262" i="2" s="1"/>
  <c r="F263" i="2" s="1"/>
  <c r="F264" i="2" s="1"/>
  <c r="F265" i="2" s="1"/>
  <c r="F266" i="2" s="1"/>
  <c r="F267" i="2" s="1"/>
  <c r="F268" i="2" s="1"/>
  <c r="F269" i="2" s="1"/>
  <c r="F270" i="2" s="1"/>
  <c r="F271" i="2" s="1"/>
  <c r="F272" i="2" s="1"/>
  <c r="F273" i="2" s="1"/>
  <c r="F274" i="2" s="1"/>
  <c r="F275" i="2" s="1"/>
  <c r="F276" i="2" s="1"/>
  <c r="F277" i="2" s="1"/>
  <c r="F278" i="2" s="1"/>
  <c r="F279" i="2" s="1"/>
  <c r="F280" i="2" s="1"/>
  <c r="F281" i="2" s="1"/>
  <c r="F282" i="2" s="1"/>
  <c r="F283" i="2" s="1"/>
  <c r="F284" i="2" s="1"/>
  <c r="F285" i="2" s="1"/>
  <c r="F286" i="2" s="1"/>
  <c r="F287" i="2" s="1"/>
  <c r="F288" i="2" s="1"/>
  <c r="F289" i="2" s="1"/>
  <c r="F290" i="2" s="1"/>
  <c r="F291" i="2" s="1"/>
  <c r="F292" i="2" s="1"/>
  <c r="F293" i="2" s="1"/>
  <c r="F294" i="2" s="1"/>
  <c r="F295" i="2" s="1"/>
  <c r="F296" i="2" s="1"/>
  <c r="F297" i="2" s="1"/>
  <c r="F298" i="2" s="1"/>
  <c r="F299" i="2" s="1"/>
  <c r="F300" i="2" s="1"/>
  <c r="F301" i="2" s="1"/>
  <c r="F302" i="2" s="1"/>
  <c r="F303" i="2" s="1"/>
  <c r="F304" i="2" s="1"/>
  <c r="F305" i="2" s="1"/>
  <c r="F306" i="2" s="1"/>
  <c r="F307" i="2" s="1"/>
  <c r="F308" i="2" s="1"/>
  <c r="F309" i="2" s="1"/>
  <c r="F310" i="2" s="1"/>
  <c r="F311" i="2" s="1"/>
  <c r="F312" i="2" s="1"/>
  <c r="F313" i="2" s="1"/>
  <c r="F314" i="2" s="1"/>
  <c r="F315" i="2" s="1"/>
  <c r="F316" i="2" s="1"/>
  <c r="F317" i="2" s="1"/>
  <c r="F318" i="2" s="1"/>
  <c r="F319" i="2" s="1"/>
  <c r="F320" i="2" s="1"/>
  <c r="F321" i="2" s="1"/>
  <c r="F322" i="2" s="1"/>
  <c r="F323" i="2" s="1"/>
  <c r="F324" i="2" s="1"/>
  <c r="F325" i="2" s="1"/>
  <c r="F326" i="2" s="1"/>
  <c r="F327" i="2" s="1"/>
  <c r="F328" i="2" s="1"/>
  <c r="F329" i="2" s="1"/>
  <c r="F330" i="2" s="1"/>
  <c r="F331" i="2" s="1"/>
  <c r="F332" i="2" s="1"/>
  <c r="F333" i="2" s="1"/>
  <c r="F334" i="2" s="1"/>
  <c r="F335" i="2" s="1"/>
  <c r="F336" i="2" s="1"/>
  <c r="F337" i="2" s="1"/>
  <c r="F338" i="2" s="1"/>
  <c r="F339" i="2" s="1"/>
  <c r="F340" i="2" s="1"/>
  <c r="F341" i="2" s="1"/>
  <c r="F342" i="2" s="1"/>
  <c r="F343" i="2" s="1"/>
  <c r="F344" i="2" s="1"/>
  <c r="F345" i="2" s="1"/>
  <c r="F346" i="2" s="1"/>
  <c r="F347" i="2" s="1"/>
  <c r="F348" i="2" s="1"/>
  <c r="F349" i="2" s="1"/>
  <c r="F350" i="2" s="1"/>
  <c r="F351" i="2" s="1"/>
  <c r="F352" i="2" s="1"/>
  <c r="F353" i="2" s="1"/>
  <c r="F354" i="2" s="1"/>
  <c r="F355" i="2" s="1"/>
  <c r="F356" i="2" s="1"/>
  <c r="F357" i="2" s="1"/>
  <c r="F358" i="2" s="1"/>
  <c r="F359" i="2" s="1"/>
  <c r="F360" i="2" s="1"/>
  <c r="F361" i="2" s="1"/>
  <c r="F362" i="2" s="1"/>
  <c r="F363" i="2" s="1"/>
  <c r="F364" i="2" s="1"/>
  <c r="F365" i="2" s="1"/>
  <c r="F366" i="2" s="1"/>
  <c r="F367" i="2" s="1"/>
  <c r="F368" i="2" s="1"/>
  <c r="F369" i="2" s="1"/>
  <c r="F370" i="2" s="1"/>
  <c r="F371" i="2" s="1"/>
  <c r="F372" i="2" s="1"/>
  <c r="F373" i="2" s="1"/>
  <c r="F374" i="2" s="1"/>
  <c r="F375" i="2" s="1"/>
  <c r="F376" i="2" s="1"/>
  <c r="F377" i="2" s="1"/>
  <c r="F378" i="2" s="1"/>
  <c r="F379" i="2" s="1"/>
  <c r="F380" i="2" s="1"/>
  <c r="F381" i="2" s="1"/>
  <c r="F382" i="2" s="1"/>
  <c r="F383" i="2" s="1"/>
  <c r="F384" i="2" s="1"/>
  <c r="F385" i="2" s="1"/>
  <c r="F386" i="2" s="1"/>
  <c r="F387" i="2" s="1"/>
  <c r="F388" i="2" s="1"/>
  <c r="F389" i="2" s="1"/>
  <c r="F390" i="2" s="1"/>
  <c r="F391" i="2" s="1"/>
  <c r="F392" i="2" s="1"/>
  <c r="F393" i="2" s="1"/>
  <c r="F394" i="2" s="1"/>
  <c r="F395" i="2" s="1"/>
  <c r="F396" i="2" s="1"/>
  <c r="F397" i="2" s="1"/>
  <c r="F398" i="2" s="1"/>
  <c r="F399" i="2" s="1"/>
  <c r="F400" i="2" s="1"/>
  <c r="F401" i="2" s="1"/>
  <c r="F402" i="2" s="1"/>
  <c r="F403" i="2" s="1"/>
  <c r="F404" i="2" s="1"/>
  <c r="F405" i="2" s="1"/>
  <c r="F406" i="2" s="1"/>
  <c r="F407" i="2" s="1"/>
  <c r="F408" i="2" s="1"/>
  <c r="F409" i="2" s="1"/>
  <c r="F410" i="2" s="1"/>
  <c r="F411" i="2" s="1"/>
  <c r="F412" i="2" s="1"/>
  <c r="F413" i="2" s="1"/>
  <c r="F414" i="2" s="1"/>
  <c r="F415" i="2" s="1"/>
  <c r="C15" i="2"/>
  <c r="T15" i="2" s="1"/>
  <c r="W15" i="2" s="1"/>
  <c r="B15" i="2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B400" i="2" s="1"/>
  <c r="B401" i="2" s="1"/>
  <c r="B402" i="2" s="1"/>
  <c r="B403" i="2" s="1"/>
  <c r="B404" i="2" s="1"/>
  <c r="B405" i="2" s="1"/>
  <c r="B406" i="2" s="1"/>
  <c r="B407" i="2" s="1"/>
  <c r="B408" i="2" s="1"/>
  <c r="B409" i="2" s="1"/>
  <c r="B410" i="2" s="1"/>
  <c r="B411" i="2" s="1"/>
  <c r="B412" i="2" s="1"/>
  <c r="B413" i="2" s="1"/>
  <c r="B414" i="2" s="1"/>
  <c r="B415" i="2" s="1"/>
  <c r="Q15" i="1"/>
  <c r="R15" i="1"/>
  <c r="T15" i="1" s="1"/>
  <c r="Q16" i="1"/>
  <c r="R16" i="1"/>
  <c r="Q17" i="1"/>
  <c r="R17" i="1"/>
  <c r="Q18" i="1"/>
  <c r="R18" i="1"/>
  <c r="Q19" i="1"/>
  <c r="R19" i="1"/>
  <c r="T19" i="1" s="1"/>
  <c r="Q20" i="1"/>
  <c r="R20" i="1"/>
  <c r="Q21" i="1"/>
  <c r="R21" i="1"/>
  <c r="Q22" i="1"/>
  <c r="R22" i="1"/>
  <c r="Q23" i="1"/>
  <c r="R23" i="1"/>
  <c r="T23" i="1" s="1"/>
  <c r="Q24" i="1"/>
  <c r="R24" i="1"/>
  <c r="Q25" i="1"/>
  <c r="R25" i="1"/>
  <c r="Q26" i="1"/>
  <c r="R26" i="1"/>
  <c r="Q27" i="1"/>
  <c r="R27" i="1"/>
  <c r="T27" i="1" s="1"/>
  <c r="Q28" i="1"/>
  <c r="R28" i="1"/>
  <c r="T28" i="1" s="1"/>
  <c r="Q29" i="1"/>
  <c r="R29" i="1"/>
  <c r="Q30" i="1"/>
  <c r="R30" i="1"/>
  <c r="Q31" i="1"/>
  <c r="R31" i="1"/>
  <c r="T31" i="1" s="1"/>
  <c r="Q32" i="1"/>
  <c r="R32" i="1"/>
  <c r="T32" i="1" s="1"/>
  <c r="Q33" i="1"/>
  <c r="R33" i="1"/>
  <c r="Q34" i="1"/>
  <c r="R34" i="1"/>
  <c r="T34" i="1"/>
  <c r="Q35" i="1"/>
  <c r="R35" i="1"/>
  <c r="Q36" i="1"/>
  <c r="R36" i="1"/>
  <c r="Q37" i="1"/>
  <c r="R37" i="1"/>
  <c r="Q38" i="1"/>
  <c r="R38" i="1"/>
  <c r="Q39" i="1"/>
  <c r="R39" i="1"/>
  <c r="Q40" i="1"/>
  <c r="R40" i="1"/>
  <c r="T40" i="1" s="1"/>
  <c r="Q41" i="1"/>
  <c r="R41" i="1"/>
  <c r="Q42" i="1"/>
  <c r="R42" i="1"/>
  <c r="T42" i="1"/>
  <c r="Q43" i="1"/>
  <c r="R43" i="1"/>
  <c r="T43" i="1" s="1"/>
  <c r="Q44" i="1"/>
  <c r="R44" i="1"/>
  <c r="T44" i="1" s="1"/>
  <c r="Q45" i="1"/>
  <c r="R45" i="1"/>
  <c r="Q46" i="1"/>
  <c r="R46" i="1"/>
  <c r="Q47" i="1"/>
  <c r="R47" i="1"/>
  <c r="T47" i="1" s="1"/>
  <c r="Q48" i="1"/>
  <c r="R48" i="1"/>
  <c r="T48" i="1" s="1"/>
  <c r="Q49" i="1"/>
  <c r="R49" i="1"/>
  <c r="Q50" i="1"/>
  <c r="R50" i="1"/>
  <c r="Q51" i="1"/>
  <c r="R51" i="1"/>
  <c r="T51" i="1" s="1"/>
  <c r="Q52" i="1"/>
  <c r="R52" i="1"/>
  <c r="Q53" i="1"/>
  <c r="R53" i="1"/>
  <c r="Q54" i="1"/>
  <c r="R54" i="1"/>
  <c r="Q55" i="1"/>
  <c r="R55" i="1"/>
  <c r="T55" i="1" s="1"/>
  <c r="Q56" i="1"/>
  <c r="R56" i="1"/>
  <c r="Q57" i="1"/>
  <c r="R57" i="1"/>
  <c r="Q58" i="1"/>
  <c r="R58" i="1"/>
  <c r="Q59" i="1"/>
  <c r="R59" i="1"/>
  <c r="T59" i="1" s="1"/>
  <c r="Q60" i="1"/>
  <c r="R60" i="1"/>
  <c r="T60" i="1" s="1"/>
  <c r="Q61" i="1"/>
  <c r="R61" i="1"/>
  <c r="Q62" i="1"/>
  <c r="R62" i="1"/>
  <c r="Q63" i="1"/>
  <c r="R63" i="1"/>
  <c r="T63" i="1" s="1"/>
  <c r="W18" i="1" s="1"/>
  <c r="R14" i="1"/>
  <c r="Q14" i="1"/>
  <c r="T14" i="1" s="1"/>
  <c r="O14" i="1"/>
  <c r="O15" i="1" s="1"/>
  <c r="O16" i="1" s="1"/>
  <c r="O17" i="1" s="1"/>
  <c r="O18" i="1" s="1"/>
  <c r="O19" i="1" s="1"/>
  <c r="O20" i="1" s="1"/>
  <c r="O21" i="1" s="1"/>
  <c r="O22" i="1" s="1"/>
  <c r="O23" i="1" s="1"/>
  <c r="O24" i="1" s="1"/>
  <c r="O25" i="1" s="1"/>
  <c r="O26" i="1" s="1"/>
  <c r="O27" i="1" s="1"/>
  <c r="O28" i="1" s="1"/>
  <c r="O29" i="1" s="1"/>
  <c r="O30" i="1" s="1"/>
  <c r="O31" i="1" s="1"/>
  <c r="O32" i="1" s="1"/>
  <c r="O33" i="1" s="1"/>
  <c r="O34" i="1" s="1"/>
  <c r="O35" i="1" s="1"/>
  <c r="O36" i="1" s="1"/>
  <c r="O37" i="1" s="1"/>
  <c r="O38" i="1" s="1"/>
  <c r="O39" i="1" s="1"/>
  <c r="O40" i="1" s="1"/>
  <c r="O41" i="1" s="1"/>
  <c r="O42" i="1" s="1"/>
  <c r="O43" i="1" s="1"/>
  <c r="O44" i="1" s="1"/>
  <c r="O45" i="1" s="1"/>
  <c r="O46" i="1" s="1"/>
  <c r="O47" i="1" s="1"/>
  <c r="O48" i="1" s="1"/>
  <c r="O49" i="1" s="1"/>
  <c r="O50" i="1" s="1"/>
  <c r="O51" i="1" s="1"/>
  <c r="O52" i="1" s="1"/>
  <c r="O53" i="1" s="1"/>
  <c r="O54" i="1" s="1"/>
  <c r="O55" i="1" s="1"/>
  <c r="O56" i="1" s="1"/>
  <c r="O57" i="1" s="1"/>
  <c r="O58" i="1" s="1"/>
  <c r="O59" i="1" s="1"/>
  <c r="O60" i="1" s="1"/>
  <c r="O61" i="1" s="1"/>
  <c r="O62" i="1" s="1"/>
  <c r="O63" i="1" s="1"/>
  <c r="R13" i="1"/>
  <c r="Q13" i="1"/>
  <c r="T13" i="1" s="1"/>
  <c r="P13" i="1"/>
  <c r="B15" i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D14" i="1"/>
  <c r="C15" i="1" s="1"/>
  <c r="P14" i="1" s="1"/>
  <c r="S14" i="1" l="1"/>
  <c r="T58" i="1"/>
  <c r="T54" i="1"/>
  <c r="T52" i="1"/>
  <c r="T50" i="1"/>
  <c r="S13" i="1"/>
  <c r="T26" i="1"/>
  <c r="T22" i="1"/>
  <c r="T18" i="1"/>
  <c r="T46" i="1"/>
  <c r="T16" i="1"/>
  <c r="T38" i="1"/>
  <c r="T36" i="1"/>
  <c r="T62" i="1"/>
  <c r="T56" i="1"/>
  <c r="T39" i="1"/>
  <c r="T35" i="1"/>
  <c r="T30" i="1"/>
  <c r="T24" i="1"/>
  <c r="T20" i="1"/>
  <c r="H15" i="2"/>
  <c r="I15" i="2" s="1"/>
  <c r="J15" i="2" s="1"/>
  <c r="D15" i="2"/>
  <c r="C16" i="2" s="1"/>
  <c r="O15" i="2"/>
  <c r="P15" i="2" s="1"/>
  <c r="Q15" i="2" s="1"/>
  <c r="T61" i="1"/>
  <c r="T53" i="1"/>
  <c r="T45" i="1"/>
  <c r="T37" i="1"/>
  <c r="T29" i="1"/>
  <c r="T21" i="1"/>
  <c r="T57" i="1"/>
  <c r="T49" i="1"/>
  <c r="T41" i="1"/>
  <c r="T33" i="1"/>
  <c r="T25" i="1"/>
  <c r="T17" i="1"/>
  <c r="D15" i="1"/>
  <c r="C16" i="1" s="1"/>
  <c r="W16" i="1" l="1"/>
  <c r="T16" i="2"/>
  <c r="D16" i="2"/>
  <c r="C17" i="2"/>
  <c r="G16" i="2"/>
  <c r="U16" i="2" s="1"/>
  <c r="M16" i="2"/>
  <c r="V16" i="2" s="1"/>
  <c r="W14" i="1"/>
  <c r="D16" i="1"/>
  <c r="C17" i="1" s="1"/>
  <c r="P16" i="1" s="1"/>
  <c r="S16" i="1" s="1"/>
  <c r="P15" i="1"/>
  <c r="S15" i="1" s="1"/>
  <c r="X16" i="2" l="1"/>
  <c r="H16" i="2"/>
  <c r="T17" i="2"/>
  <c r="D17" i="2"/>
  <c r="C18" i="2" s="1"/>
  <c r="W16" i="2"/>
  <c r="N16" i="2"/>
  <c r="O16" i="2"/>
  <c r="P16" i="2" s="1"/>
  <c r="I16" i="2"/>
  <c r="J16" i="2" s="1"/>
  <c r="G17" i="2" s="1"/>
  <c r="U17" i="2" s="1"/>
  <c r="D17" i="1"/>
  <c r="C18" i="1" s="1"/>
  <c r="T18" i="2" l="1"/>
  <c r="D18" i="2"/>
  <c r="C19" i="2" s="1"/>
  <c r="Q16" i="2"/>
  <c r="M17" i="2" s="1"/>
  <c r="V17" i="2" s="1"/>
  <c r="W17" i="2" s="1"/>
  <c r="H17" i="2"/>
  <c r="I17" i="2" s="1"/>
  <c r="J17" i="2" s="1"/>
  <c r="G18" i="2" s="1"/>
  <c r="U18" i="2" s="1"/>
  <c r="P17" i="1"/>
  <c r="S17" i="1" s="1"/>
  <c r="D18" i="1"/>
  <c r="C19" i="1" s="1"/>
  <c r="T19" i="2" l="1"/>
  <c r="D19" i="2"/>
  <c r="C20" i="2" s="1"/>
  <c r="X17" i="2"/>
  <c r="N17" i="2"/>
  <c r="O17" i="2" s="1"/>
  <c r="P17" i="2" s="1"/>
  <c r="Q17" i="2" s="1"/>
  <c r="H18" i="2"/>
  <c r="I18" i="2" s="1"/>
  <c r="J18" i="2" s="1"/>
  <c r="G19" i="2" s="1"/>
  <c r="U19" i="2" s="1"/>
  <c r="P18" i="1"/>
  <c r="S18" i="1" s="1"/>
  <c r="D19" i="1"/>
  <c r="C20" i="1" s="1"/>
  <c r="P19" i="1" s="1"/>
  <c r="S19" i="1" s="1"/>
  <c r="T20" i="2" l="1"/>
  <c r="D20" i="2"/>
  <c r="C21" i="2" s="1"/>
  <c r="M18" i="2"/>
  <c r="V18" i="2" s="1"/>
  <c r="H19" i="2"/>
  <c r="D20" i="1"/>
  <c r="C21" i="1" s="1"/>
  <c r="P20" i="1" s="1"/>
  <c r="S20" i="1" s="1"/>
  <c r="N18" i="2" l="1"/>
  <c r="O18" i="2" s="1"/>
  <c r="P18" i="2" s="1"/>
  <c r="Q18" i="2" s="1"/>
  <c r="T21" i="2"/>
  <c r="D21" i="2"/>
  <c r="C22" i="2" s="1"/>
  <c r="W18" i="2"/>
  <c r="X18" i="2"/>
  <c r="I19" i="2"/>
  <c r="J19" i="2" s="1"/>
  <c r="G20" i="2" s="1"/>
  <c r="D21" i="1"/>
  <c r="C22" i="1" s="1"/>
  <c r="M19" i="2" l="1"/>
  <c r="T22" i="2"/>
  <c r="D22" i="2"/>
  <c r="C23" i="2"/>
  <c r="H20" i="2"/>
  <c r="I20" i="2" s="1"/>
  <c r="J20" i="2" s="1"/>
  <c r="G21" i="2" s="1"/>
  <c r="U21" i="2" s="1"/>
  <c r="U20" i="2"/>
  <c r="P21" i="1"/>
  <c r="S21" i="1" s="1"/>
  <c r="D22" i="1"/>
  <c r="C23" i="1" s="1"/>
  <c r="P22" i="1" l="1"/>
  <c r="S22" i="1" s="1"/>
  <c r="D23" i="1"/>
  <c r="C24" i="1" s="1"/>
  <c r="P23" i="1" s="1"/>
  <c r="S23" i="1" s="1"/>
  <c r="V19" i="2"/>
  <c r="N19" i="2"/>
  <c r="O19" i="2" s="1"/>
  <c r="P19" i="2" s="1"/>
  <c r="Q19" i="2" s="1"/>
  <c r="M20" i="2" s="1"/>
  <c r="T23" i="2"/>
  <c r="D23" i="2"/>
  <c r="C24" i="2" s="1"/>
  <c r="H21" i="2"/>
  <c r="I21" i="2" s="1"/>
  <c r="J21" i="2" s="1"/>
  <c r="G22" i="2" s="1"/>
  <c r="D24" i="1" l="1"/>
  <c r="C25" i="1" s="1"/>
  <c r="P24" i="1" s="1"/>
  <c r="S24" i="1" s="1"/>
  <c r="V20" i="2"/>
  <c r="N20" i="2"/>
  <c r="O20" i="2" s="1"/>
  <c r="P20" i="2" s="1"/>
  <c r="Q20" i="2" s="1"/>
  <c r="M21" i="2"/>
  <c r="V21" i="2" s="1"/>
  <c r="W21" i="2" s="1"/>
  <c r="W19" i="2"/>
  <c r="X19" i="2"/>
  <c r="T24" i="2"/>
  <c r="D24" i="2"/>
  <c r="C25" i="2" s="1"/>
  <c r="N21" i="2"/>
  <c r="O21" i="2" s="1"/>
  <c r="P21" i="2" s="1"/>
  <c r="Q21" i="2" s="1"/>
  <c r="M22" i="2" s="1"/>
  <c r="H22" i="2"/>
  <c r="I22" i="2" s="1"/>
  <c r="J22" i="2" s="1"/>
  <c r="G23" i="2" s="1"/>
  <c r="U22" i="2"/>
  <c r="D25" i="1"/>
  <c r="C26" i="1" s="1"/>
  <c r="P25" i="1" s="1"/>
  <c r="S25" i="1" s="1"/>
  <c r="X21" i="2" l="1"/>
  <c r="W20" i="2"/>
  <c r="X20" i="2"/>
  <c r="V22" i="2"/>
  <c r="W22" i="2" s="1"/>
  <c r="N22" i="2"/>
  <c r="O22" i="2" s="1"/>
  <c r="P22" i="2" s="1"/>
  <c r="Q22" i="2" s="1"/>
  <c r="T25" i="2"/>
  <c r="D25" i="2"/>
  <c r="C26" i="2" s="1"/>
  <c r="U23" i="2"/>
  <c r="H23" i="2"/>
  <c r="I23" i="2" s="1"/>
  <c r="J23" i="2" s="1"/>
  <c r="G24" i="2" s="1"/>
  <c r="D26" i="1"/>
  <c r="C27" i="1" s="1"/>
  <c r="P26" i="1" s="1"/>
  <c r="S26" i="1" s="1"/>
  <c r="X22" i="2" l="1"/>
  <c r="M23" i="2"/>
  <c r="V23" i="2" s="1"/>
  <c r="W23" i="2" s="1"/>
  <c r="T26" i="2"/>
  <c r="D26" i="2"/>
  <c r="C27" i="2" s="1"/>
  <c r="U24" i="2"/>
  <c r="H24" i="2"/>
  <c r="I24" i="2" s="1"/>
  <c r="J24" i="2" s="1"/>
  <c r="G25" i="2" s="1"/>
  <c r="N23" i="2"/>
  <c r="O23" i="2" s="1"/>
  <c r="D27" i="1"/>
  <c r="C28" i="1" s="1"/>
  <c r="P27" i="1" s="1"/>
  <c r="S27" i="1" s="1"/>
  <c r="X23" i="2" l="1"/>
  <c r="T27" i="2"/>
  <c r="D27" i="2"/>
  <c r="C28" i="2"/>
  <c r="U25" i="2"/>
  <c r="H25" i="2"/>
  <c r="I25" i="2" s="1"/>
  <c r="J25" i="2" s="1"/>
  <c r="G26" i="2" s="1"/>
  <c r="P23" i="2"/>
  <c r="Q23" i="2" s="1"/>
  <c r="D28" i="1"/>
  <c r="C29" i="1" s="1"/>
  <c r="P28" i="1" s="1"/>
  <c r="S28" i="1" s="1"/>
  <c r="T28" i="2" l="1"/>
  <c r="D28" i="2"/>
  <c r="C29" i="2" s="1"/>
  <c r="M24" i="2"/>
  <c r="V24" i="2" s="1"/>
  <c r="U26" i="2"/>
  <c r="H26" i="2"/>
  <c r="I26" i="2" s="1"/>
  <c r="J26" i="2" s="1"/>
  <c r="G27" i="2" s="1"/>
  <c r="U27" i="2" s="1"/>
  <c r="D29" i="1"/>
  <c r="C30" i="1" s="1"/>
  <c r="P29" i="1" s="1"/>
  <c r="S29" i="1" s="1"/>
  <c r="W24" i="2" l="1"/>
  <c r="X24" i="2"/>
  <c r="T29" i="2"/>
  <c r="D29" i="2"/>
  <c r="C30" i="2" s="1"/>
  <c r="N24" i="2"/>
  <c r="O24" i="2" s="1"/>
  <c r="P24" i="2" s="1"/>
  <c r="Q24" i="2" s="1"/>
  <c r="H27" i="2"/>
  <c r="I27" i="2" s="1"/>
  <c r="J27" i="2" s="1"/>
  <c r="G28" i="2" s="1"/>
  <c r="D30" i="1"/>
  <c r="C31" i="1"/>
  <c r="P30" i="1" s="1"/>
  <c r="S30" i="1" s="1"/>
  <c r="M25" i="2" l="1"/>
  <c r="V25" i="2" s="1"/>
  <c r="T30" i="2"/>
  <c r="D30" i="2"/>
  <c r="C31" i="2" s="1"/>
  <c r="H28" i="2"/>
  <c r="I28" i="2" s="1"/>
  <c r="J28" i="2" s="1"/>
  <c r="G29" i="2" s="1"/>
  <c r="U28" i="2"/>
  <c r="N25" i="2"/>
  <c r="D31" i="1"/>
  <c r="C32" i="1" s="1"/>
  <c r="P31" i="1" s="1"/>
  <c r="S31" i="1" s="1"/>
  <c r="T31" i="2" l="1"/>
  <c r="D31" i="2"/>
  <c r="C32" i="2"/>
  <c r="W25" i="2"/>
  <c r="X25" i="2"/>
  <c r="H29" i="2"/>
  <c r="I29" i="2" s="1"/>
  <c r="J29" i="2" s="1"/>
  <c r="G30" i="2" s="1"/>
  <c r="U29" i="2"/>
  <c r="O25" i="2"/>
  <c r="P25" i="2" s="1"/>
  <c r="Q25" i="2" s="1"/>
  <c r="D32" i="1"/>
  <c r="C33" i="1" s="1"/>
  <c r="P32" i="1" s="1"/>
  <c r="S32" i="1" s="1"/>
  <c r="T32" i="2" l="1"/>
  <c r="D32" i="2"/>
  <c r="C33" i="2" s="1"/>
  <c r="H30" i="2"/>
  <c r="I30" i="2" s="1"/>
  <c r="J30" i="2" s="1"/>
  <c r="G31" i="2" s="1"/>
  <c r="U30" i="2"/>
  <c r="M26" i="2"/>
  <c r="V26" i="2" s="1"/>
  <c r="D33" i="1"/>
  <c r="C34" i="1"/>
  <c r="P33" i="1" s="1"/>
  <c r="S33" i="1" s="1"/>
  <c r="W26" i="2" l="1"/>
  <c r="X26" i="2"/>
  <c r="T33" i="2"/>
  <c r="D33" i="2"/>
  <c r="C34" i="2" s="1"/>
  <c r="U31" i="2"/>
  <c r="H31" i="2"/>
  <c r="I31" i="2" s="1"/>
  <c r="J31" i="2" s="1"/>
  <c r="G32" i="2" s="1"/>
  <c r="N26" i="2"/>
  <c r="O26" i="2" s="1"/>
  <c r="P26" i="2" s="1"/>
  <c r="Q26" i="2" s="1"/>
  <c r="D34" i="1"/>
  <c r="C35" i="1" s="1"/>
  <c r="P34" i="1" s="1"/>
  <c r="S34" i="1" s="1"/>
  <c r="T34" i="2" l="1"/>
  <c r="D34" i="2"/>
  <c r="C35" i="2" s="1"/>
  <c r="U32" i="2"/>
  <c r="H32" i="2"/>
  <c r="I32" i="2" s="1"/>
  <c r="J32" i="2" s="1"/>
  <c r="G33" i="2" s="1"/>
  <c r="M27" i="2"/>
  <c r="V27" i="2" s="1"/>
  <c r="D35" i="1"/>
  <c r="C36" i="1"/>
  <c r="P35" i="1" s="1"/>
  <c r="S35" i="1" s="1"/>
  <c r="T35" i="2" l="1"/>
  <c r="D35" i="2"/>
  <c r="C36" i="2"/>
  <c r="W27" i="2"/>
  <c r="X27" i="2"/>
  <c r="U33" i="2"/>
  <c r="H33" i="2"/>
  <c r="I33" i="2" s="1"/>
  <c r="J33" i="2" s="1"/>
  <c r="G34" i="2" s="1"/>
  <c r="N27" i="2"/>
  <c r="O27" i="2" s="1"/>
  <c r="D36" i="1"/>
  <c r="C37" i="1" s="1"/>
  <c r="P36" i="1" s="1"/>
  <c r="S36" i="1" s="1"/>
  <c r="T36" i="2" l="1"/>
  <c r="D36" i="2"/>
  <c r="C37" i="2"/>
  <c r="U34" i="2"/>
  <c r="H34" i="2"/>
  <c r="I34" i="2" s="1"/>
  <c r="J34" i="2" s="1"/>
  <c r="G35" i="2" s="1"/>
  <c r="P27" i="2"/>
  <c r="Q27" i="2" s="1"/>
  <c r="D37" i="1"/>
  <c r="C38" i="1" s="1"/>
  <c r="P37" i="1" s="1"/>
  <c r="S37" i="1" s="1"/>
  <c r="T37" i="2" l="1"/>
  <c r="D37" i="2"/>
  <c r="C38" i="2" s="1"/>
  <c r="U35" i="2"/>
  <c r="H35" i="2"/>
  <c r="I35" i="2" s="1"/>
  <c r="J35" i="2" s="1"/>
  <c r="G36" i="2" s="1"/>
  <c r="M28" i="2"/>
  <c r="V28" i="2" s="1"/>
  <c r="D38" i="1"/>
  <c r="C39" i="1" s="1"/>
  <c r="P38" i="1" s="1"/>
  <c r="S38" i="1" s="1"/>
  <c r="W28" i="2" l="1"/>
  <c r="X28" i="2"/>
  <c r="T38" i="2"/>
  <c r="D38" i="2"/>
  <c r="C39" i="2" s="1"/>
  <c r="U36" i="2"/>
  <c r="H36" i="2"/>
  <c r="I36" i="2" s="1"/>
  <c r="J36" i="2" s="1"/>
  <c r="G37" i="2" s="1"/>
  <c r="N28" i="2"/>
  <c r="O28" i="2" s="1"/>
  <c r="P28" i="2" s="1"/>
  <c r="Q28" i="2" s="1"/>
  <c r="D39" i="1"/>
  <c r="C40" i="1" s="1"/>
  <c r="P39" i="1" s="1"/>
  <c r="S39" i="1" s="1"/>
  <c r="T39" i="2" l="1"/>
  <c r="D39" i="2"/>
  <c r="C40" i="2" s="1"/>
  <c r="U37" i="2"/>
  <c r="H37" i="2"/>
  <c r="I37" i="2" s="1"/>
  <c r="J37" i="2" s="1"/>
  <c r="G38" i="2" s="1"/>
  <c r="M29" i="2"/>
  <c r="V29" i="2" s="1"/>
  <c r="D40" i="1"/>
  <c r="C41" i="1" s="1"/>
  <c r="P40" i="1" s="1"/>
  <c r="S40" i="1" s="1"/>
  <c r="W29" i="2" l="1"/>
  <c r="X29" i="2"/>
  <c r="T40" i="2"/>
  <c r="D40" i="2"/>
  <c r="C41" i="2" s="1"/>
  <c r="U38" i="2"/>
  <c r="H38" i="2"/>
  <c r="I38" i="2" s="1"/>
  <c r="J38" i="2" s="1"/>
  <c r="G39" i="2" s="1"/>
  <c r="N29" i="2"/>
  <c r="O29" i="2"/>
  <c r="P29" i="2" s="1"/>
  <c r="Q29" i="2" s="1"/>
  <c r="D41" i="1"/>
  <c r="C42" i="1" s="1"/>
  <c r="P41" i="1" s="1"/>
  <c r="S41" i="1" s="1"/>
  <c r="T41" i="2" l="1"/>
  <c r="D41" i="2"/>
  <c r="C42" i="2" s="1"/>
  <c r="U39" i="2"/>
  <c r="H39" i="2"/>
  <c r="I39" i="2" s="1"/>
  <c r="J39" i="2" s="1"/>
  <c r="G40" i="2" s="1"/>
  <c r="M30" i="2"/>
  <c r="V30" i="2" s="1"/>
  <c r="D42" i="1"/>
  <c r="C43" i="1"/>
  <c r="P42" i="1" s="1"/>
  <c r="S42" i="1" s="1"/>
  <c r="W30" i="2" l="1"/>
  <c r="X30" i="2"/>
  <c r="T42" i="2"/>
  <c r="D42" i="2"/>
  <c r="C43" i="2" s="1"/>
  <c r="U40" i="2"/>
  <c r="H40" i="2"/>
  <c r="I40" i="2" s="1"/>
  <c r="J40" i="2" s="1"/>
  <c r="G41" i="2" s="1"/>
  <c r="N30" i="2"/>
  <c r="O30" i="2" s="1"/>
  <c r="P30" i="2" s="1"/>
  <c r="Q30" i="2" s="1"/>
  <c r="D43" i="1"/>
  <c r="C44" i="1" s="1"/>
  <c r="P43" i="1" s="1"/>
  <c r="S43" i="1" s="1"/>
  <c r="T43" i="2" l="1"/>
  <c r="D43" i="2"/>
  <c r="C44" i="2" s="1"/>
  <c r="U41" i="2"/>
  <c r="H41" i="2"/>
  <c r="I41" i="2" s="1"/>
  <c r="J41" i="2" s="1"/>
  <c r="G42" i="2" s="1"/>
  <c r="U42" i="2" s="1"/>
  <c r="M31" i="2"/>
  <c r="V31" i="2" s="1"/>
  <c r="D44" i="1"/>
  <c r="C45" i="1" s="1"/>
  <c r="P44" i="1" s="1"/>
  <c r="S44" i="1" s="1"/>
  <c r="W31" i="2" l="1"/>
  <c r="X31" i="2"/>
  <c r="T44" i="2"/>
  <c r="D44" i="2"/>
  <c r="C45" i="2" s="1"/>
  <c r="H42" i="2"/>
  <c r="I42" i="2" s="1"/>
  <c r="J42" i="2" s="1"/>
  <c r="G43" i="2" s="1"/>
  <c r="U43" i="2" s="1"/>
  <c r="N31" i="2"/>
  <c r="O31" i="2" s="1"/>
  <c r="D45" i="1"/>
  <c r="C46" i="1"/>
  <c r="P45" i="1" s="1"/>
  <c r="S45" i="1" s="1"/>
  <c r="T45" i="2" l="1"/>
  <c r="D45" i="2"/>
  <c r="C46" i="2" s="1"/>
  <c r="P31" i="2"/>
  <c r="Q31" i="2" s="1"/>
  <c r="H43" i="2"/>
  <c r="I43" i="2" s="1"/>
  <c r="J43" i="2" s="1"/>
  <c r="G44" i="2" s="1"/>
  <c r="U44" i="2" s="1"/>
  <c r="D46" i="1"/>
  <c r="C47" i="1"/>
  <c r="P46" i="1" s="1"/>
  <c r="S46" i="1" s="1"/>
  <c r="T46" i="2" l="1"/>
  <c r="D46" i="2"/>
  <c r="C47" i="2" s="1"/>
  <c r="M32" i="2"/>
  <c r="V32" i="2" s="1"/>
  <c r="H44" i="2"/>
  <c r="I44" i="2" s="1"/>
  <c r="J44" i="2" s="1"/>
  <c r="G45" i="2" s="1"/>
  <c r="U45" i="2" s="1"/>
  <c r="D47" i="1"/>
  <c r="C48" i="1" s="1"/>
  <c r="P47" i="1" s="1"/>
  <c r="S47" i="1" s="1"/>
  <c r="T47" i="2" l="1"/>
  <c r="D47" i="2"/>
  <c r="C48" i="2" s="1"/>
  <c r="W32" i="2"/>
  <c r="X32" i="2"/>
  <c r="N32" i="2"/>
  <c r="O32" i="2" s="1"/>
  <c r="P32" i="2" s="1"/>
  <c r="Q32" i="2" s="1"/>
  <c r="H45" i="2"/>
  <c r="I45" i="2" s="1"/>
  <c r="J45" i="2" s="1"/>
  <c r="G46" i="2" s="1"/>
  <c r="U46" i="2" s="1"/>
  <c r="D48" i="1"/>
  <c r="C49" i="1" s="1"/>
  <c r="P48" i="1" s="1"/>
  <c r="S48" i="1" s="1"/>
  <c r="T48" i="2" l="1"/>
  <c r="D48" i="2"/>
  <c r="C49" i="2" s="1"/>
  <c r="M33" i="2"/>
  <c r="V33" i="2" s="1"/>
  <c r="H46" i="2"/>
  <c r="I46" i="2" s="1"/>
  <c r="J46" i="2" s="1"/>
  <c r="G47" i="2" s="1"/>
  <c r="U47" i="2" s="1"/>
  <c r="D49" i="1"/>
  <c r="C50" i="1"/>
  <c r="P49" i="1" s="1"/>
  <c r="S49" i="1" s="1"/>
  <c r="T49" i="2" l="1"/>
  <c r="D49" i="2"/>
  <c r="C50" i="2" s="1"/>
  <c r="W33" i="2"/>
  <c r="X33" i="2"/>
  <c r="N33" i="2"/>
  <c r="H47" i="2"/>
  <c r="I47" i="2"/>
  <c r="J47" i="2" s="1"/>
  <c r="G48" i="2" s="1"/>
  <c r="U48" i="2" s="1"/>
  <c r="D50" i="1"/>
  <c r="C51" i="1" s="1"/>
  <c r="P50" i="1" s="1"/>
  <c r="S50" i="1" s="1"/>
  <c r="T50" i="2" l="1"/>
  <c r="D50" i="2"/>
  <c r="C51" i="2" s="1"/>
  <c r="O33" i="2"/>
  <c r="P33" i="2" s="1"/>
  <c r="Q33" i="2" s="1"/>
  <c r="H48" i="2"/>
  <c r="I48" i="2" s="1"/>
  <c r="J48" i="2" s="1"/>
  <c r="G49" i="2" s="1"/>
  <c r="U49" i="2" s="1"/>
  <c r="D51" i="1"/>
  <c r="C52" i="1" s="1"/>
  <c r="P51" i="1" s="1"/>
  <c r="S51" i="1" s="1"/>
  <c r="T51" i="2" l="1"/>
  <c r="D51" i="2"/>
  <c r="C52" i="2"/>
  <c r="M34" i="2"/>
  <c r="V34" i="2" s="1"/>
  <c r="H49" i="2"/>
  <c r="I49" i="2" s="1"/>
  <c r="J49" i="2" s="1"/>
  <c r="G50" i="2" s="1"/>
  <c r="U50" i="2" s="1"/>
  <c r="D52" i="1"/>
  <c r="C53" i="1" s="1"/>
  <c r="P52" i="1" s="1"/>
  <c r="S52" i="1" s="1"/>
  <c r="T52" i="2" l="1"/>
  <c r="D52" i="2"/>
  <c r="C53" i="2" s="1"/>
  <c r="W34" i="2"/>
  <c r="X34" i="2"/>
  <c r="N34" i="2"/>
  <c r="O34" i="2" s="1"/>
  <c r="P34" i="2" s="1"/>
  <c r="Q34" i="2" s="1"/>
  <c r="H50" i="2"/>
  <c r="I50" i="2" s="1"/>
  <c r="J50" i="2" s="1"/>
  <c r="G51" i="2" s="1"/>
  <c r="U51" i="2" s="1"/>
  <c r="D53" i="1"/>
  <c r="C54" i="1" s="1"/>
  <c r="P53" i="1" s="1"/>
  <c r="S53" i="1" s="1"/>
  <c r="T53" i="2" l="1"/>
  <c r="D53" i="2"/>
  <c r="C54" i="2" s="1"/>
  <c r="M35" i="2"/>
  <c r="V35" i="2" s="1"/>
  <c r="H51" i="2"/>
  <c r="I51" i="2" s="1"/>
  <c r="J51" i="2" s="1"/>
  <c r="G52" i="2" s="1"/>
  <c r="U52" i="2" s="1"/>
  <c r="D54" i="1"/>
  <c r="C55" i="1" s="1"/>
  <c r="P54" i="1" s="1"/>
  <c r="S54" i="1" s="1"/>
  <c r="T54" i="2" l="1"/>
  <c r="D54" i="2"/>
  <c r="C55" i="2" s="1"/>
  <c r="W35" i="2"/>
  <c r="X35" i="2"/>
  <c r="N35" i="2"/>
  <c r="O35" i="2" s="1"/>
  <c r="H52" i="2"/>
  <c r="I52" i="2" s="1"/>
  <c r="J52" i="2" s="1"/>
  <c r="G53" i="2" s="1"/>
  <c r="U53" i="2" s="1"/>
  <c r="D55" i="1"/>
  <c r="C56" i="1" s="1"/>
  <c r="P55" i="1" s="1"/>
  <c r="S55" i="1" s="1"/>
  <c r="T55" i="2" l="1"/>
  <c r="D55" i="2"/>
  <c r="C56" i="2" s="1"/>
  <c r="P35" i="2"/>
  <c r="Q35" i="2" s="1"/>
  <c r="H53" i="2"/>
  <c r="I53" i="2" s="1"/>
  <c r="J53" i="2" s="1"/>
  <c r="G54" i="2" s="1"/>
  <c r="U54" i="2" s="1"/>
  <c r="D56" i="1"/>
  <c r="C57" i="1" s="1"/>
  <c r="P56" i="1" s="1"/>
  <c r="S56" i="1" s="1"/>
  <c r="M36" i="2" l="1"/>
  <c r="V36" i="2" s="1"/>
  <c r="W36" i="2" s="1"/>
  <c r="T56" i="2"/>
  <c r="D56" i="2"/>
  <c r="C57" i="2" s="1"/>
  <c r="H54" i="2"/>
  <c r="I54" i="2" s="1"/>
  <c r="J54" i="2" s="1"/>
  <c r="D57" i="1"/>
  <c r="C58" i="1" s="1"/>
  <c r="P57" i="1" s="1"/>
  <c r="S57" i="1" s="1"/>
  <c r="X36" i="2" l="1"/>
  <c r="N36" i="2"/>
  <c r="O36" i="2" s="1"/>
  <c r="P36" i="2" s="1"/>
  <c r="Q36" i="2" s="1"/>
  <c r="T57" i="2"/>
  <c r="D57" i="2"/>
  <c r="C58" i="2" s="1"/>
  <c r="G55" i="2"/>
  <c r="U55" i="2" s="1"/>
  <c r="D58" i="1"/>
  <c r="C59" i="1"/>
  <c r="P58" i="1" s="1"/>
  <c r="S58" i="1" s="1"/>
  <c r="T58" i="2" l="1"/>
  <c r="D58" i="2"/>
  <c r="C59" i="2" s="1"/>
  <c r="M37" i="2"/>
  <c r="V37" i="2" s="1"/>
  <c r="H55" i="2"/>
  <c r="I55" i="2" s="1"/>
  <c r="J55" i="2" s="1"/>
  <c r="G56" i="2" s="1"/>
  <c r="U56" i="2" s="1"/>
  <c r="D59" i="1"/>
  <c r="C60" i="1" s="1"/>
  <c r="P59" i="1" s="1"/>
  <c r="S59" i="1" s="1"/>
  <c r="T59" i="2" l="1"/>
  <c r="D59" i="2"/>
  <c r="C60" i="2" s="1"/>
  <c r="W37" i="2"/>
  <c r="X37" i="2"/>
  <c r="N37" i="2"/>
  <c r="O37" i="2" s="1"/>
  <c r="P37" i="2" s="1"/>
  <c r="Q37" i="2" s="1"/>
  <c r="H56" i="2"/>
  <c r="I56" i="2"/>
  <c r="J56" i="2" s="1"/>
  <c r="G57" i="2" s="1"/>
  <c r="U57" i="2" s="1"/>
  <c r="D60" i="1"/>
  <c r="C61" i="1" s="1"/>
  <c r="P60" i="1" s="1"/>
  <c r="S60" i="1" s="1"/>
  <c r="T60" i="2" l="1"/>
  <c r="D60" i="2"/>
  <c r="C61" i="2" s="1"/>
  <c r="M38" i="2"/>
  <c r="V38" i="2" s="1"/>
  <c r="H57" i="2"/>
  <c r="I57" i="2" s="1"/>
  <c r="J57" i="2" s="1"/>
  <c r="G58" i="2" s="1"/>
  <c r="U58" i="2" s="1"/>
  <c r="D61" i="1"/>
  <c r="C62" i="1" s="1"/>
  <c r="P61" i="1" s="1"/>
  <c r="S61" i="1" s="1"/>
  <c r="T61" i="2" l="1"/>
  <c r="D61" i="2"/>
  <c r="C62" i="2" s="1"/>
  <c r="W38" i="2"/>
  <c r="X38" i="2"/>
  <c r="N38" i="2"/>
  <c r="O38" i="2" s="1"/>
  <c r="P38" i="2" s="1"/>
  <c r="Q38" i="2" s="1"/>
  <c r="H58" i="2"/>
  <c r="I58" i="2" s="1"/>
  <c r="J58" i="2" s="1"/>
  <c r="D62" i="1"/>
  <c r="C63" i="1" s="1"/>
  <c r="P62" i="1" s="1"/>
  <c r="S62" i="1" s="1"/>
  <c r="T62" i="2" l="1"/>
  <c r="D62" i="2"/>
  <c r="C63" i="2" s="1"/>
  <c r="M39" i="2"/>
  <c r="V39" i="2" s="1"/>
  <c r="G59" i="2"/>
  <c r="U59" i="2" s="1"/>
  <c r="D63" i="1"/>
  <c r="C64" i="1" s="1"/>
  <c r="W39" i="2" l="1"/>
  <c r="X39" i="2"/>
  <c r="T63" i="2"/>
  <c r="D63" i="2"/>
  <c r="C64" i="2" s="1"/>
  <c r="N39" i="2"/>
  <c r="O39" i="2" s="1"/>
  <c r="P39" i="2" s="1"/>
  <c r="Q39" i="2" s="1"/>
  <c r="H59" i="2"/>
  <c r="I59" i="2" s="1"/>
  <c r="J59" i="2" s="1"/>
  <c r="G60" i="2" s="1"/>
  <c r="U60" i="2" s="1"/>
  <c r="D64" i="1"/>
  <c r="P63" i="1"/>
  <c r="S63" i="1" s="1"/>
  <c r="W17" i="1" s="1"/>
  <c r="T64" i="2" l="1"/>
  <c r="D64" i="2"/>
  <c r="C65" i="2" s="1"/>
  <c r="M40" i="2"/>
  <c r="V40" i="2" s="1"/>
  <c r="H60" i="2"/>
  <c r="I60" i="2" s="1"/>
  <c r="J60" i="2" s="1"/>
  <c r="G61" i="2" s="1"/>
  <c r="U61" i="2" s="1"/>
  <c r="W15" i="1"/>
  <c r="W13" i="1"/>
  <c r="T65" i="2" l="1"/>
  <c r="D65" i="2"/>
  <c r="C66" i="2" s="1"/>
  <c r="W40" i="2"/>
  <c r="X40" i="2"/>
  <c r="N40" i="2"/>
  <c r="O40" i="2" s="1"/>
  <c r="P40" i="2" s="1"/>
  <c r="Q40" i="2" s="1"/>
  <c r="H61" i="2"/>
  <c r="I61" i="2" s="1"/>
  <c r="J61" i="2" s="1"/>
  <c r="G62" i="2" s="1"/>
  <c r="U62" i="2" s="1"/>
  <c r="T66" i="2" l="1"/>
  <c r="D66" i="2"/>
  <c r="C67" i="2" s="1"/>
  <c r="M41" i="2"/>
  <c r="V41" i="2" s="1"/>
  <c r="H62" i="2"/>
  <c r="I62" i="2" s="1"/>
  <c r="J62" i="2" s="1"/>
  <c r="G63" i="2" s="1"/>
  <c r="U63" i="2" s="1"/>
  <c r="T67" i="2" l="1"/>
  <c r="D67" i="2"/>
  <c r="C68" i="2" s="1"/>
  <c r="W41" i="2"/>
  <c r="X41" i="2"/>
  <c r="N41" i="2"/>
  <c r="O41" i="2" s="1"/>
  <c r="P41" i="2" s="1"/>
  <c r="Q41" i="2" s="1"/>
  <c r="H63" i="2"/>
  <c r="I63" i="2" s="1"/>
  <c r="J63" i="2" s="1"/>
  <c r="G64" i="2" s="1"/>
  <c r="U64" i="2" s="1"/>
  <c r="T68" i="2" l="1"/>
  <c r="D68" i="2"/>
  <c r="C69" i="2" s="1"/>
  <c r="M42" i="2"/>
  <c r="V42" i="2" s="1"/>
  <c r="H64" i="2"/>
  <c r="I64" i="2" s="1"/>
  <c r="J64" i="2" s="1"/>
  <c r="G65" i="2" s="1"/>
  <c r="U65" i="2" s="1"/>
  <c r="T69" i="2" l="1"/>
  <c r="D69" i="2"/>
  <c r="C70" i="2" s="1"/>
  <c r="W42" i="2"/>
  <c r="X42" i="2"/>
  <c r="N42" i="2"/>
  <c r="O42" i="2" s="1"/>
  <c r="P42" i="2" s="1"/>
  <c r="Q42" i="2" s="1"/>
  <c r="H65" i="2"/>
  <c r="I65" i="2" s="1"/>
  <c r="J65" i="2" s="1"/>
  <c r="G66" i="2" s="1"/>
  <c r="U66" i="2" s="1"/>
  <c r="T70" i="2" l="1"/>
  <c r="D70" i="2"/>
  <c r="C71" i="2" s="1"/>
  <c r="M43" i="2"/>
  <c r="V43" i="2" s="1"/>
  <c r="H66" i="2"/>
  <c r="I66" i="2" s="1"/>
  <c r="J66" i="2" s="1"/>
  <c r="G67" i="2" s="1"/>
  <c r="U67" i="2" s="1"/>
  <c r="T71" i="2" l="1"/>
  <c r="D71" i="2"/>
  <c r="C72" i="2" s="1"/>
  <c r="W43" i="2"/>
  <c r="X43" i="2"/>
  <c r="N43" i="2"/>
  <c r="O43" i="2" s="1"/>
  <c r="H67" i="2"/>
  <c r="I67" i="2"/>
  <c r="J67" i="2" s="1"/>
  <c r="G68" i="2" s="1"/>
  <c r="U68" i="2" s="1"/>
  <c r="T72" i="2" l="1"/>
  <c r="D72" i="2"/>
  <c r="C73" i="2" s="1"/>
  <c r="P43" i="2"/>
  <c r="Q43" i="2" s="1"/>
  <c r="M44" i="2" s="1"/>
  <c r="V44" i="2" s="1"/>
  <c r="H68" i="2"/>
  <c r="I68" i="2" s="1"/>
  <c r="J68" i="2" s="1"/>
  <c r="G69" i="2" s="1"/>
  <c r="U69" i="2" s="1"/>
  <c r="T73" i="2" l="1"/>
  <c r="D73" i="2"/>
  <c r="C74" i="2" s="1"/>
  <c r="W44" i="2"/>
  <c r="X44" i="2"/>
  <c r="N44" i="2"/>
  <c r="O44" i="2" s="1"/>
  <c r="P44" i="2" s="1"/>
  <c r="Q44" i="2" s="1"/>
  <c r="H69" i="2"/>
  <c r="I69" i="2"/>
  <c r="J69" i="2" s="1"/>
  <c r="G70" i="2" s="1"/>
  <c r="U70" i="2" s="1"/>
  <c r="T74" i="2" l="1"/>
  <c r="D74" i="2"/>
  <c r="C75" i="2" s="1"/>
  <c r="M45" i="2"/>
  <c r="V45" i="2" s="1"/>
  <c r="H70" i="2"/>
  <c r="I70" i="2" s="1"/>
  <c r="J70" i="2" s="1"/>
  <c r="G71" i="2" s="1"/>
  <c r="U71" i="2" s="1"/>
  <c r="T75" i="2" l="1"/>
  <c r="D75" i="2"/>
  <c r="C76" i="2" s="1"/>
  <c r="W45" i="2"/>
  <c r="X45" i="2"/>
  <c r="N45" i="2"/>
  <c r="O45" i="2" s="1"/>
  <c r="P45" i="2" s="1"/>
  <c r="Q45" i="2" s="1"/>
  <c r="H71" i="2"/>
  <c r="T76" i="2" l="1"/>
  <c r="D76" i="2"/>
  <c r="C77" i="2" s="1"/>
  <c r="M46" i="2"/>
  <c r="V46" i="2" s="1"/>
  <c r="I71" i="2"/>
  <c r="J71" i="2" s="1"/>
  <c r="G72" i="2" s="1"/>
  <c r="U72" i="2" s="1"/>
  <c r="W46" i="2" l="1"/>
  <c r="X46" i="2"/>
  <c r="T77" i="2"/>
  <c r="D77" i="2"/>
  <c r="C78" i="2" s="1"/>
  <c r="N46" i="2"/>
  <c r="O46" i="2" s="1"/>
  <c r="P46" i="2" s="1"/>
  <c r="Q46" i="2" s="1"/>
  <c r="H72" i="2"/>
  <c r="I72" i="2" s="1"/>
  <c r="J72" i="2" s="1"/>
  <c r="G73" i="2" s="1"/>
  <c r="U73" i="2" s="1"/>
  <c r="T78" i="2" l="1"/>
  <c r="D78" i="2"/>
  <c r="C79" i="2" s="1"/>
  <c r="M47" i="2"/>
  <c r="V47" i="2" s="1"/>
  <c r="H73" i="2"/>
  <c r="I73" i="2" s="1"/>
  <c r="J73" i="2" s="1"/>
  <c r="G74" i="2" s="1"/>
  <c r="U74" i="2" s="1"/>
  <c r="T79" i="2" l="1"/>
  <c r="D79" i="2"/>
  <c r="C80" i="2" s="1"/>
  <c r="W47" i="2"/>
  <c r="X47" i="2"/>
  <c r="N47" i="2"/>
  <c r="O47" i="2" s="1"/>
  <c r="H74" i="2"/>
  <c r="I74" i="2" s="1"/>
  <c r="J74" i="2" s="1"/>
  <c r="T80" i="2" l="1"/>
  <c r="D80" i="2"/>
  <c r="C81" i="2" s="1"/>
  <c r="G75" i="2"/>
  <c r="U75" i="2" s="1"/>
  <c r="P47" i="2"/>
  <c r="Q47" i="2" s="1"/>
  <c r="M48" i="2" l="1"/>
  <c r="V48" i="2" s="1"/>
  <c r="W48" i="2" s="1"/>
  <c r="T81" i="2"/>
  <c r="D81" i="2"/>
  <c r="C82" i="2" s="1"/>
  <c r="H75" i="2"/>
  <c r="I75" i="2" s="1"/>
  <c r="J75" i="2" s="1"/>
  <c r="G76" i="2" s="1"/>
  <c r="U76" i="2" s="1"/>
  <c r="X48" i="2" l="1"/>
  <c r="N48" i="2"/>
  <c r="O48" i="2" s="1"/>
  <c r="P48" i="2" s="1"/>
  <c r="Q48" i="2" s="1"/>
  <c r="M49" i="2" s="1"/>
  <c r="V49" i="2" s="1"/>
  <c r="T82" i="2"/>
  <c r="D82" i="2"/>
  <c r="C83" i="2" s="1"/>
  <c r="H76" i="2"/>
  <c r="I76" i="2" s="1"/>
  <c r="J76" i="2" s="1"/>
  <c r="G77" i="2" s="1"/>
  <c r="U77" i="2" s="1"/>
  <c r="T83" i="2" l="1"/>
  <c r="D83" i="2"/>
  <c r="C84" i="2" s="1"/>
  <c r="W49" i="2"/>
  <c r="X49" i="2"/>
  <c r="H77" i="2"/>
  <c r="I77" i="2"/>
  <c r="J77" i="2" s="1"/>
  <c r="G78" i="2" s="1"/>
  <c r="U78" i="2" s="1"/>
  <c r="N49" i="2"/>
  <c r="O49" i="2"/>
  <c r="P49" i="2" s="1"/>
  <c r="Q49" i="2" s="1"/>
  <c r="T84" i="2" l="1"/>
  <c r="D84" i="2"/>
  <c r="C85" i="2" s="1"/>
  <c r="H78" i="2"/>
  <c r="I78" i="2" s="1"/>
  <c r="J78" i="2" s="1"/>
  <c r="G79" i="2" s="1"/>
  <c r="U79" i="2" s="1"/>
  <c r="M50" i="2"/>
  <c r="V50" i="2" s="1"/>
  <c r="H79" i="2" l="1"/>
  <c r="I79" i="2" s="1"/>
  <c r="J79" i="2" s="1"/>
  <c r="G80" i="2" s="1"/>
  <c r="U80" i="2" s="1"/>
  <c r="W50" i="2"/>
  <c r="X50" i="2"/>
  <c r="T85" i="2"/>
  <c r="D85" i="2"/>
  <c r="C86" i="2" s="1"/>
  <c r="N50" i="2"/>
  <c r="O50" i="2" s="1"/>
  <c r="P50" i="2" s="1"/>
  <c r="Q50" i="2" s="1"/>
  <c r="T86" i="2" l="1"/>
  <c r="D86" i="2"/>
  <c r="C87" i="2"/>
  <c r="M51" i="2"/>
  <c r="V51" i="2" s="1"/>
  <c r="H80" i="2"/>
  <c r="T87" i="2" l="1"/>
  <c r="D87" i="2"/>
  <c r="C88" i="2" s="1"/>
  <c r="W51" i="2"/>
  <c r="X51" i="2"/>
  <c r="N51" i="2"/>
  <c r="O51" i="2" s="1"/>
  <c r="P51" i="2" s="1"/>
  <c r="Q51" i="2" s="1"/>
  <c r="I80" i="2"/>
  <c r="J80" i="2" s="1"/>
  <c r="G81" i="2" s="1"/>
  <c r="U81" i="2" s="1"/>
  <c r="T88" i="2" l="1"/>
  <c r="D88" i="2"/>
  <c r="C89" i="2" s="1"/>
  <c r="M52" i="2"/>
  <c r="V52" i="2" s="1"/>
  <c r="H81" i="2"/>
  <c r="I81" i="2" s="1"/>
  <c r="J81" i="2" s="1"/>
  <c r="G82" i="2" s="1"/>
  <c r="U82" i="2" s="1"/>
  <c r="T89" i="2" l="1"/>
  <c r="D89" i="2"/>
  <c r="C90" i="2" s="1"/>
  <c r="W52" i="2"/>
  <c r="X52" i="2"/>
  <c r="N52" i="2"/>
  <c r="O52" i="2" s="1"/>
  <c r="P52" i="2" s="1"/>
  <c r="Q52" i="2" s="1"/>
  <c r="H82" i="2"/>
  <c r="I82" i="2" s="1"/>
  <c r="J82" i="2" s="1"/>
  <c r="T90" i="2" l="1"/>
  <c r="D90" i="2"/>
  <c r="C91" i="2" s="1"/>
  <c r="G83" i="2"/>
  <c r="U83" i="2" s="1"/>
  <c r="M53" i="2"/>
  <c r="V53" i="2" s="1"/>
  <c r="H83" i="2" l="1"/>
  <c r="I83" i="2" s="1"/>
  <c r="J83" i="2" s="1"/>
  <c r="G84" i="2" s="1"/>
  <c r="U84" i="2" s="1"/>
  <c r="T91" i="2"/>
  <c r="D91" i="2"/>
  <c r="C92" i="2" s="1"/>
  <c r="W53" i="2"/>
  <c r="X53" i="2"/>
  <c r="N53" i="2"/>
  <c r="O53" i="2"/>
  <c r="P53" i="2" s="1"/>
  <c r="Q53" i="2" s="1"/>
  <c r="H84" i="2"/>
  <c r="I84" i="2" s="1"/>
  <c r="J84" i="2" s="1"/>
  <c r="T92" i="2" l="1"/>
  <c r="D92" i="2"/>
  <c r="C93" i="2" s="1"/>
  <c r="G85" i="2"/>
  <c r="U85" i="2" s="1"/>
  <c r="M54" i="2"/>
  <c r="V54" i="2" s="1"/>
  <c r="T93" i="2" l="1"/>
  <c r="D93" i="2"/>
  <c r="C94" i="2" s="1"/>
  <c r="H85" i="2"/>
  <c r="I85" i="2" s="1"/>
  <c r="J85" i="2" s="1"/>
  <c r="G86" i="2" s="1"/>
  <c r="W54" i="2"/>
  <c r="X54" i="2"/>
  <c r="N54" i="2"/>
  <c r="O54" i="2" s="1"/>
  <c r="P54" i="2" s="1"/>
  <c r="Q54" i="2" s="1"/>
  <c r="T94" i="2" l="1"/>
  <c r="D94" i="2"/>
  <c r="C95" i="2" s="1"/>
  <c r="U86" i="2"/>
  <c r="H86" i="2"/>
  <c r="I86" i="2" s="1"/>
  <c r="J86" i="2" s="1"/>
  <c r="G87" i="2" s="1"/>
  <c r="U87" i="2" s="1"/>
  <c r="M55" i="2"/>
  <c r="V55" i="2" s="1"/>
  <c r="T95" i="2" l="1"/>
  <c r="D95" i="2"/>
  <c r="C96" i="2" s="1"/>
  <c r="W55" i="2"/>
  <c r="X55" i="2"/>
  <c r="N55" i="2"/>
  <c r="O55" i="2" s="1"/>
  <c r="P55" i="2" s="1"/>
  <c r="Q55" i="2" s="1"/>
  <c r="H87" i="2"/>
  <c r="I87" i="2" s="1"/>
  <c r="J87" i="2" s="1"/>
  <c r="G88" i="2" s="1"/>
  <c r="U88" i="2" s="1"/>
  <c r="T96" i="2" l="1"/>
  <c r="D96" i="2"/>
  <c r="C97" i="2" s="1"/>
  <c r="M56" i="2"/>
  <c r="V56" i="2" s="1"/>
  <c r="H88" i="2"/>
  <c r="I88" i="2" s="1"/>
  <c r="J88" i="2" s="1"/>
  <c r="G89" i="2" s="1"/>
  <c r="U89" i="2" s="1"/>
  <c r="T97" i="2" l="1"/>
  <c r="D97" i="2"/>
  <c r="C98" i="2" s="1"/>
  <c r="W56" i="2"/>
  <c r="X56" i="2"/>
  <c r="N56" i="2"/>
  <c r="O56" i="2" s="1"/>
  <c r="P56" i="2" s="1"/>
  <c r="H89" i="2"/>
  <c r="I89" i="2" s="1"/>
  <c r="J89" i="2" s="1"/>
  <c r="T98" i="2" l="1"/>
  <c r="D98" i="2"/>
  <c r="C99" i="2" s="1"/>
  <c r="Q56" i="2"/>
  <c r="M57" i="2" s="1"/>
  <c r="V57" i="2" s="1"/>
  <c r="G90" i="2"/>
  <c r="U90" i="2" s="1"/>
  <c r="W57" i="2" l="1"/>
  <c r="X57" i="2"/>
  <c r="T99" i="2"/>
  <c r="D99" i="2"/>
  <c r="C100" i="2" s="1"/>
  <c r="N57" i="2"/>
  <c r="O57" i="2" s="1"/>
  <c r="P57" i="2" s="1"/>
  <c r="Q57" i="2" s="1"/>
  <c r="H90" i="2"/>
  <c r="I90" i="2" s="1"/>
  <c r="J90" i="2" s="1"/>
  <c r="G91" i="2" s="1"/>
  <c r="U91" i="2" s="1"/>
  <c r="T100" i="2" l="1"/>
  <c r="D100" i="2"/>
  <c r="C101" i="2" s="1"/>
  <c r="M58" i="2"/>
  <c r="V58" i="2" s="1"/>
  <c r="H91" i="2"/>
  <c r="I91" i="2" s="1"/>
  <c r="J91" i="2" s="1"/>
  <c r="G92" i="2" s="1"/>
  <c r="U92" i="2" s="1"/>
  <c r="T101" i="2" l="1"/>
  <c r="D101" i="2"/>
  <c r="C102" i="2" s="1"/>
  <c r="W58" i="2"/>
  <c r="X58" i="2"/>
  <c r="N58" i="2"/>
  <c r="O58" i="2" s="1"/>
  <c r="H92" i="2"/>
  <c r="I92" i="2" s="1"/>
  <c r="J92" i="2" s="1"/>
  <c r="G93" i="2" s="1"/>
  <c r="U93" i="2" s="1"/>
  <c r="T102" i="2" l="1"/>
  <c r="D102" i="2"/>
  <c r="C103" i="2"/>
  <c r="P58" i="2"/>
  <c r="Q58" i="2" s="1"/>
  <c r="H93" i="2"/>
  <c r="I93" i="2" s="1"/>
  <c r="J93" i="2" s="1"/>
  <c r="G94" i="2" s="1"/>
  <c r="U94" i="2" s="1"/>
  <c r="T103" i="2" l="1"/>
  <c r="D103" i="2"/>
  <c r="C104" i="2"/>
  <c r="M59" i="2"/>
  <c r="V59" i="2" s="1"/>
  <c r="H94" i="2"/>
  <c r="T104" i="2" l="1"/>
  <c r="D104" i="2"/>
  <c r="C105" i="2" s="1"/>
  <c r="W59" i="2"/>
  <c r="X59" i="2"/>
  <c r="N59" i="2"/>
  <c r="O59" i="2" s="1"/>
  <c r="P59" i="2" s="1"/>
  <c r="Q59" i="2" s="1"/>
  <c r="I94" i="2"/>
  <c r="J94" i="2" s="1"/>
  <c r="G95" i="2" s="1"/>
  <c r="U95" i="2" s="1"/>
  <c r="T105" i="2" l="1"/>
  <c r="D105" i="2"/>
  <c r="C106" i="2" s="1"/>
  <c r="M60" i="2"/>
  <c r="V60" i="2" s="1"/>
  <c r="H95" i="2"/>
  <c r="I95" i="2" s="1"/>
  <c r="J95" i="2" s="1"/>
  <c r="G96" i="2" s="1"/>
  <c r="U96" i="2" s="1"/>
  <c r="T106" i="2" l="1"/>
  <c r="D106" i="2"/>
  <c r="C107" i="2" s="1"/>
  <c r="W60" i="2"/>
  <c r="X60" i="2"/>
  <c r="N60" i="2"/>
  <c r="O60" i="2" s="1"/>
  <c r="P60" i="2" s="1"/>
  <c r="Q60" i="2" s="1"/>
  <c r="H96" i="2"/>
  <c r="I96" i="2"/>
  <c r="J96" i="2" s="1"/>
  <c r="G97" i="2" s="1"/>
  <c r="U97" i="2" s="1"/>
  <c r="T107" i="2" l="1"/>
  <c r="D107" i="2"/>
  <c r="C108" i="2" s="1"/>
  <c r="M61" i="2"/>
  <c r="V61" i="2" s="1"/>
  <c r="H97" i="2"/>
  <c r="T108" i="2" l="1"/>
  <c r="D108" i="2"/>
  <c r="C109" i="2" s="1"/>
  <c r="W61" i="2"/>
  <c r="X61" i="2"/>
  <c r="I97" i="2"/>
  <c r="J97" i="2" s="1"/>
  <c r="G98" i="2" s="1"/>
  <c r="U98" i="2" s="1"/>
  <c r="N61" i="2"/>
  <c r="O61" i="2" s="1"/>
  <c r="P61" i="2" s="1"/>
  <c r="Q61" i="2" s="1"/>
  <c r="T109" i="2" l="1"/>
  <c r="D109" i="2"/>
  <c r="C110" i="2" s="1"/>
  <c r="H98" i="2"/>
  <c r="I98" i="2" s="1"/>
  <c r="J98" i="2" s="1"/>
  <c r="G99" i="2" s="1"/>
  <c r="M62" i="2"/>
  <c r="V62" i="2" s="1"/>
  <c r="T110" i="2" l="1"/>
  <c r="D110" i="2"/>
  <c r="C111" i="2" s="1"/>
  <c r="W62" i="2"/>
  <c r="X62" i="2"/>
  <c r="U99" i="2"/>
  <c r="H99" i="2"/>
  <c r="I99" i="2" s="1"/>
  <c r="J99" i="2" s="1"/>
  <c r="G100" i="2" s="1"/>
  <c r="U100" i="2" s="1"/>
  <c r="N62" i="2"/>
  <c r="O62" i="2" s="1"/>
  <c r="P62" i="2" s="1"/>
  <c r="T111" i="2" l="1"/>
  <c r="D111" i="2"/>
  <c r="C112" i="2" s="1"/>
  <c r="H100" i="2"/>
  <c r="I100" i="2" s="1"/>
  <c r="J100" i="2" s="1"/>
  <c r="G101" i="2" s="1"/>
  <c r="U101" i="2" s="1"/>
  <c r="Q62" i="2"/>
  <c r="M63" i="2" s="1"/>
  <c r="V63" i="2" s="1"/>
  <c r="T112" i="2" l="1"/>
  <c r="D112" i="2"/>
  <c r="C113" i="2" s="1"/>
  <c r="W63" i="2"/>
  <c r="X63" i="2"/>
  <c r="H101" i="2"/>
  <c r="I101" i="2" s="1"/>
  <c r="J101" i="2" s="1"/>
  <c r="N63" i="2"/>
  <c r="T113" i="2" l="1"/>
  <c r="D113" i="2"/>
  <c r="C114" i="2" s="1"/>
  <c r="G102" i="2"/>
  <c r="U102" i="2" s="1"/>
  <c r="O63" i="2"/>
  <c r="P63" i="2" s="1"/>
  <c r="Q63" i="2" s="1"/>
  <c r="H102" i="2" l="1"/>
  <c r="I102" i="2" s="1"/>
  <c r="J102" i="2" s="1"/>
  <c r="G103" i="2" s="1"/>
  <c r="T114" i="2"/>
  <c r="D114" i="2"/>
  <c r="C115" i="2" s="1"/>
  <c r="M64" i="2"/>
  <c r="V64" i="2" s="1"/>
  <c r="U103" i="2" l="1"/>
  <c r="H103" i="2"/>
  <c r="W64" i="2"/>
  <c r="X64" i="2"/>
  <c r="T115" i="2"/>
  <c r="D115" i="2"/>
  <c r="C116" i="2" s="1"/>
  <c r="N64" i="2"/>
  <c r="O64" i="2" s="1"/>
  <c r="P64" i="2" s="1"/>
  <c r="Q64" i="2" s="1"/>
  <c r="I103" i="2"/>
  <c r="J103" i="2" s="1"/>
  <c r="G104" i="2" s="1"/>
  <c r="U104" i="2" s="1"/>
  <c r="T116" i="2" l="1"/>
  <c r="D116" i="2"/>
  <c r="C117" i="2" s="1"/>
  <c r="M65" i="2"/>
  <c r="V65" i="2" s="1"/>
  <c r="H104" i="2"/>
  <c r="I104" i="2" s="1"/>
  <c r="J104" i="2" s="1"/>
  <c r="G105" i="2" s="1"/>
  <c r="U105" i="2" s="1"/>
  <c r="W65" i="2" l="1"/>
  <c r="X65" i="2"/>
  <c r="T117" i="2"/>
  <c r="D117" i="2"/>
  <c r="C118" i="2" s="1"/>
  <c r="N65" i="2"/>
  <c r="O65" i="2" s="1"/>
  <c r="P65" i="2" s="1"/>
  <c r="Q65" i="2" s="1"/>
  <c r="H105" i="2"/>
  <c r="T118" i="2" l="1"/>
  <c r="D118" i="2"/>
  <c r="C119" i="2" s="1"/>
  <c r="M66" i="2"/>
  <c r="V66" i="2" s="1"/>
  <c r="I105" i="2"/>
  <c r="J105" i="2" s="1"/>
  <c r="G106" i="2" s="1"/>
  <c r="U106" i="2" s="1"/>
  <c r="W66" i="2" l="1"/>
  <c r="X66" i="2"/>
  <c r="T119" i="2"/>
  <c r="D119" i="2"/>
  <c r="C120" i="2" s="1"/>
  <c r="N66" i="2"/>
  <c r="O66" i="2" s="1"/>
  <c r="P66" i="2" s="1"/>
  <c r="Q66" i="2" s="1"/>
  <c r="H106" i="2"/>
  <c r="T120" i="2" l="1"/>
  <c r="D120" i="2"/>
  <c r="C121" i="2" s="1"/>
  <c r="M67" i="2"/>
  <c r="V67" i="2" s="1"/>
  <c r="I106" i="2"/>
  <c r="J106" i="2" s="1"/>
  <c r="G107" i="2" s="1"/>
  <c r="U107" i="2" s="1"/>
  <c r="T121" i="2" l="1"/>
  <c r="D121" i="2"/>
  <c r="C122" i="2"/>
  <c r="W67" i="2"/>
  <c r="X67" i="2"/>
  <c r="N67" i="2"/>
  <c r="O67" i="2" s="1"/>
  <c r="P67" i="2" s="1"/>
  <c r="Q67" i="2" s="1"/>
  <c r="H107" i="2"/>
  <c r="T122" i="2" l="1"/>
  <c r="D122" i="2"/>
  <c r="C123" i="2" s="1"/>
  <c r="M68" i="2"/>
  <c r="V68" i="2" s="1"/>
  <c r="I107" i="2"/>
  <c r="J107" i="2" s="1"/>
  <c r="G108" i="2" s="1"/>
  <c r="U108" i="2" s="1"/>
  <c r="W68" i="2" l="1"/>
  <c r="X68" i="2"/>
  <c r="T123" i="2"/>
  <c r="D123" i="2"/>
  <c r="C124" i="2" s="1"/>
  <c r="N68" i="2"/>
  <c r="O68" i="2" s="1"/>
  <c r="P68" i="2" s="1"/>
  <c r="Q68" i="2" s="1"/>
  <c r="H108" i="2"/>
  <c r="I108" i="2" s="1"/>
  <c r="J108" i="2" s="1"/>
  <c r="G109" i="2" s="1"/>
  <c r="U109" i="2" s="1"/>
  <c r="T124" i="2" l="1"/>
  <c r="D124" i="2"/>
  <c r="C125" i="2" s="1"/>
  <c r="M69" i="2"/>
  <c r="V69" i="2" s="1"/>
  <c r="H109" i="2"/>
  <c r="I109" i="2" s="1"/>
  <c r="J109" i="2" s="1"/>
  <c r="T125" i="2" l="1"/>
  <c r="D125" i="2"/>
  <c r="C126" i="2"/>
  <c r="W69" i="2"/>
  <c r="X69" i="2"/>
  <c r="N69" i="2"/>
  <c r="O69" i="2" s="1"/>
  <c r="G110" i="2"/>
  <c r="U110" i="2" s="1"/>
  <c r="T126" i="2" l="1"/>
  <c r="D126" i="2"/>
  <c r="C127" i="2"/>
  <c r="P69" i="2"/>
  <c r="Q69" i="2" s="1"/>
  <c r="H110" i="2"/>
  <c r="I110" i="2" s="1"/>
  <c r="J110" i="2" s="1"/>
  <c r="T127" i="2" l="1"/>
  <c r="D127" i="2"/>
  <c r="C128" i="2" s="1"/>
  <c r="M70" i="2"/>
  <c r="V70" i="2" s="1"/>
  <c r="G111" i="2"/>
  <c r="U111" i="2" s="1"/>
  <c r="T128" i="2" l="1"/>
  <c r="D128" i="2"/>
  <c r="C129" i="2" s="1"/>
  <c r="W70" i="2"/>
  <c r="X70" i="2"/>
  <c r="N70" i="2"/>
  <c r="H111" i="2"/>
  <c r="I111" i="2" s="1"/>
  <c r="J111" i="2" s="1"/>
  <c r="G112" i="2" s="1"/>
  <c r="U112" i="2" s="1"/>
  <c r="T129" i="2" l="1"/>
  <c r="D129" i="2"/>
  <c r="C130" i="2" s="1"/>
  <c r="O70" i="2"/>
  <c r="P70" i="2" s="1"/>
  <c r="Q70" i="2" s="1"/>
  <c r="H112" i="2"/>
  <c r="I112" i="2" s="1"/>
  <c r="J112" i="2" s="1"/>
  <c r="G113" i="2" s="1"/>
  <c r="U113" i="2" s="1"/>
  <c r="T130" i="2" l="1"/>
  <c r="D130" i="2"/>
  <c r="C131" i="2" s="1"/>
  <c r="M71" i="2"/>
  <c r="V71" i="2" s="1"/>
  <c r="H113" i="2"/>
  <c r="I113" i="2" s="1"/>
  <c r="J113" i="2" s="1"/>
  <c r="G114" i="2" s="1"/>
  <c r="U114" i="2" s="1"/>
  <c r="T131" i="2" l="1"/>
  <c r="D131" i="2"/>
  <c r="C132" i="2" s="1"/>
  <c r="W71" i="2"/>
  <c r="X71" i="2"/>
  <c r="N71" i="2"/>
  <c r="H114" i="2"/>
  <c r="I114" i="2" s="1"/>
  <c r="J114" i="2" s="1"/>
  <c r="G115" i="2" s="1"/>
  <c r="U115" i="2" s="1"/>
  <c r="T132" i="2" l="1"/>
  <c r="D132" i="2"/>
  <c r="C133" i="2" s="1"/>
  <c r="O71" i="2"/>
  <c r="P71" i="2" s="1"/>
  <c r="Q71" i="2" s="1"/>
  <c r="H115" i="2"/>
  <c r="I115" i="2" s="1"/>
  <c r="J115" i="2" s="1"/>
  <c r="G116" i="2" s="1"/>
  <c r="U116" i="2" s="1"/>
  <c r="T133" i="2" l="1"/>
  <c r="D133" i="2"/>
  <c r="C134" i="2" s="1"/>
  <c r="M72" i="2"/>
  <c r="V72" i="2" s="1"/>
  <c r="H116" i="2"/>
  <c r="I116" i="2" s="1"/>
  <c r="J116" i="2" s="1"/>
  <c r="T134" i="2" l="1"/>
  <c r="D134" i="2"/>
  <c r="C135" i="2"/>
  <c r="W72" i="2"/>
  <c r="X72" i="2"/>
  <c r="G117" i="2"/>
  <c r="U117" i="2" s="1"/>
  <c r="N72" i="2"/>
  <c r="O72" i="2" s="1"/>
  <c r="T135" i="2" l="1"/>
  <c r="D135" i="2"/>
  <c r="C136" i="2" s="1"/>
  <c r="H117" i="2"/>
  <c r="I117" i="2" s="1"/>
  <c r="J117" i="2" s="1"/>
  <c r="P72" i="2"/>
  <c r="Q72" i="2" s="1"/>
  <c r="G118" i="2" l="1"/>
  <c r="U118" i="2" s="1"/>
  <c r="T136" i="2"/>
  <c r="D136" i="2"/>
  <c r="C137" i="2" s="1"/>
  <c r="M73" i="2"/>
  <c r="V73" i="2" s="1"/>
  <c r="H118" i="2"/>
  <c r="I118" i="2" s="1"/>
  <c r="J118" i="2" s="1"/>
  <c r="T137" i="2" l="1"/>
  <c r="D137" i="2"/>
  <c r="C138" i="2" s="1"/>
  <c r="W73" i="2"/>
  <c r="X73" i="2"/>
  <c r="G119" i="2"/>
  <c r="U119" i="2" s="1"/>
  <c r="N73" i="2"/>
  <c r="O73" i="2" s="1"/>
  <c r="P73" i="2" s="1"/>
  <c r="Q73" i="2" s="1"/>
  <c r="H119" i="2" l="1"/>
  <c r="I119" i="2" s="1"/>
  <c r="J119" i="2" s="1"/>
  <c r="G120" i="2" s="1"/>
  <c r="U120" i="2" s="1"/>
  <c r="T138" i="2"/>
  <c r="D138" i="2"/>
  <c r="C139" i="2" s="1"/>
  <c r="M74" i="2"/>
  <c r="V74" i="2" s="1"/>
  <c r="H120" i="2" l="1"/>
  <c r="I120" i="2" s="1"/>
  <c r="J120" i="2" s="1"/>
  <c r="G121" i="2" s="1"/>
  <c r="T139" i="2"/>
  <c r="D139" i="2"/>
  <c r="C140" i="2" s="1"/>
  <c r="W74" i="2"/>
  <c r="X74" i="2"/>
  <c r="N74" i="2"/>
  <c r="O74" i="2" s="1"/>
  <c r="P74" i="2" s="1"/>
  <c r="Q74" i="2" s="1"/>
  <c r="U121" i="2" l="1"/>
  <c r="H121" i="2"/>
  <c r="I121" i="2" s="1"/>
  <c r="J121" i="2" s="1"/>
  <c r="T140" i="2"/>
  <c r="D140" i="2"/>
  <c r="C141" i="2" s="1"/>
  <c r="M75" i="2"/>
  <c r="V75" i="2" s="1"/>
  <c r="G122" i="2" l="1"/>
  <c r="U122" i="2" s="1"/>
  <c r="T141" i="2"/>
  <c r="D141" i="2"/>
  <c r="C142" i="2" s="1"/>
  <c r="W75" i="2"/>
  <c r="X75" i="2"/>
  <c r="N75" i="2"/>
  <c r="O75" i="2" s="1"/>
  <c r="P75" i="2" s="1"/>
  <c r="Q75" i="2" s="1"/>
  <c r="H122" i="2"/>
  <c r="I122" i="2" s="1"/>
  <c r="J122" i="2" s="1"/>
  <c r="G123" i="2" s="1"/>
  <c r="U123" i="2" s="1"/>
  <c r="T142" i="2" l="1"/>
  <c r="D142" i="2"/>
  <c r="C143" i="2" s="1"/>
  <c r="M76" i="2"/>
  <c r="V76" i="2" s="1"/>
  <c r="H123" i="2"/>
  <c r="T143" i="2" l="1"/>
  <c r="D143" i="2"/>
  <c r="C144" i="2" s="1"/>
  <c r="W76" i="2"/>
  <c r="X76" i="2"/>
  <c r="N76" i="2"/>
  <c r="O76" i="2" s="1"/>
  <c r="P76" i="2" s="1"/>
  <c r="Q76" i="2" s="1"/>
  <c r="I123" i="2"/>
  <c r="J123" i="2" s="1"/>
  <c r="G124" i="2" s="1"/>
  <c r="U124" i="2" s="1"/>
  <c r="T144" i="2" l="1"/>
  <c r="D144" i="2"/>
  <c r="C145" i="2" s="1"/>
  <c r="M77" i="2"/>
  <c r="V77" i="2" s="1"/>
  <c r="H124" i="2"/>
  <c r="I124" i="2" s="1"/>
  <c r="J124" i="2" s="1"/>
  <c r="T145" i="2" l="1"/>
  <c r="D145" i="2"/>
  <c r="C146" i="2" s="1"/>
  <c r="W77" i="2"/>
  <c r="X77" i="2"/>
  <c r="N77" i="2"/>
  <c r="O77" i="2" s="1"/>
  <c r="P77" i="2" s="1"/>
  <c r="Q77" i="2" s="1"/>
  <c r="G125" i="2"/>
  <c r="U125" i="2" s="1"/>
  <c r="T146" i="2" l="1"/>
  <c r="D146" i="2"/>
  <c r="C147" i="2" s="1"/>
  <c r="M78" i="2"/>
  <c r="V78" i="2" s="1"/>
  <c r="H125" i="2"/>
  <c r="I125" i="2" s="1"/>
  <c r="J125" i="2" s="1"/>
  <c r="T147" i="2" l="1"/>
  <c r="D147" i="2"/>
  <c r="C148" i="2" s="1"/>
  <c r="W78" i="2"/>
  <c r="X78" i="2"/>
  <c r="N78" i="2"/>
  <c r="O78" i="2"/>
  <c r="P78" i="2" s="1"/>
  <c r="Q78" i="2" s="1"/>
  <c r="G126" i="2"/>
  <c r="U126" i="2" s="1"/>
  <c r="T148" i="2" l="1"/>
  <c r="D148" i="2"/>
  <c r="C149" i="2" s="1"/>
  <c r="M79" i="2"/>
  <c r="V79" i="2" s="1"/>
  <c r="H126" i="2"/>
  <c r="T149" i="2" l="1"/>
  <c r="D149" i="2"/>
  <c r="C150" i="2" s="1"/>
  <c r="W79" i="2"/>
  <c r="X79" i="2"/>
  <c r="N79" i="2"/>
  <c r="O79" i="2" s="1"/>
  <c r="P79" i="2" s="1"/>
  <c r="Q79" i="2" s="1"/>
  <c r="I126" i="2"/>
  <c r="J126" i="2" s="1"/>
  <c r="G127" i="2" s="1"/>
  <c r="U127" i="2" s="1"/>
  <c r="T150" i="2" l="1"/>
  <c r="D150" i="2"/>
  <c r="C151" i="2" s="1"/>
  <c r="M80" i="2"/>
  <c r="V80" i="2" s="1"/>
  <c r="H127" i="2"/>
  <c r="I127" i="2" s="1"/>
  <c r="J127" i="2" s="1"/>
  <c r="G128" i="2" s="1"/>
  <c r="U128" i="2" s="1"/>
  <c r="T151" i="2" l="1"/>
  <c r="D151" i="2"/>
  <c r="C152" i="2" s="1"/>
  <c r="W80" i="2"/>
  <c r="X80" i="2"/>
  <c r="N80" i="2"/>
  <c r="O80" i="2" s="1"/>
  <c r="P80" i="2" s="1"/>
  <c r="Q80" i="2" s="1"/>
  <c r="H128" i="2"/>
  <c r="I128" i="2" s="1"/>
  <c r="J128" i="2" s="1"/>
  <c r="T152" i="2" l="1"/>
  <c r="D152" i="2"/>
  <c r="C153" i="2" s="1"/>
  <c r="G129" i="2"/>
  <c r="U129" i="2" s="1"/>
  <c r="M81" i="2"/>
  <c r="V81" i="2" s="1"/>
  <c r="T153" i="2" l="1"/>
  <c r="D153" i="2"/>
  <c r="C154" i="2" s="1"/>
  <c r="H129" i="2"/>
  <c r="I129" i="2" s="1"/>
  <c r="J129" i="2" s="1"/>
  <c r="W81" i="2"/>
  <c r="X81" i="2"/>
  <c r="N81" i="2"/>
  <c r="O81" i="2" s="1"/>
  <c r="P81" i="2" s="1"/>
  <c r="Q81" i="2" s="1"/>
  <c r="T154" i="2" l="1"/>
  <c r="D154" i="2"/>
  <c r="C155" i="2" s="1"/>
  <c r="G130" i="2"/>
  <c r="U130" i="2" s="1"/>
  <c r="M82" i="2"/>
  <c r="V82" i="2" s="1"/>
  <c r="H130" i="2" l="1"/>
  <c r="I130" i="2" s="1"/>
  <c r="J130" i="2" s="1"/>
  <c r="T155" i="2"/>
  <c r="D155" i="2"/>
  <c r="C156" i="2" s="1"/>
  <c r="W82" i="2"/>
  <c r="X82" i="2"/>
  <c r="G131" i="2"/>
  <c r="N82" i="2"/>
  <c r="O82" i="2" s="1"/>
  <c r="P82" i="2" s="1"/>
  <c r="Q82" i="2" s="1"/>
  <c r="T156" i="2" l="1"/>
  <c r="D156" i="2"/>
  <c r="C157" i="2" s="1"/>
  <c r="H131" i="2"/>
  <c r="I131" i="2" s="1"/>
  <c r="J131" i="2" s="1"/>
  <c r="G132" i="2" s="1"/>
  <c r="U132" i="2" s="1"/>
  <c r="U131" i="2"/>
  <c r="M83" i="2"/>
  <c r="V83" i="2" s="1"/>
  <c r="W83" i="2" l="1"/>
  <c r="X83" i="2"/>
  <c r="T157" i="2"/>
  <c r="D157" i="2"/>
  <c r="C158" i="2" s="1"/>
  <c r="H132" i="2"/>
  <c r="I132" i="2" s="1"/>
  <c r="J132" i="2" s="1"/>
  <c r="N83" i="2"/>
  <c r="O83" i="2" s="1"/>
  <c r="P83" i="2" s="1"/>
  <c r="Q83" i="2" s="1"/>
  <c r="G133" i="2" l="1"/>
  <c r="U133" i="2" s="1"/>
  <c r="T158" i="2"/>
  <c r="D158" i="2"/>
  <c r="C159" i="2" s="1"/>
  <c r="M84" i="2"/>
  <c r="V84" i="2" s="1"/>
  <c r="T159" i="2" l="1"/>
  <c r="D159" i="2"/>
  <c r="C160" i="2" s="1"/>
  <c r="H133" i="2"/>
  <c r="I133" i="2" s="1"/>
  <c r="J133" i="2" s="1"/>
  <c r="W84" i="2"/>
  <c r="X84" i="2"/>
  <c r="N84" i="2"/>
  <c r="O84" i="2" s="1"/>
  <c r="P84" i="2" s="1"/>
  <c r="Q84" i="2" s="1"/>
  <c r="G134" i="2" l="1"/>
  <c r="U134" i="2" s="1"/>
  <c r="T160" i="2"/>
  <c r="D160" i="2"/>
  <c r="C161" i="2" s="1"/>
  <c r="M85" i="2"/>
  <c r="V85" i="2" s="1"/>
  <c r="H134" i="2"/>
  <c r="I134" i="2"/>
  <c r="J134" i="2" s="1"/>
  <c r="G135" i="2" l="1"/>
  <c r="U135" i="2" s="1"/>
  <c r="T161" i="2"/>
  <c r="D161" i="2"/>
  <c r="C162" i="2" s="1"/>
  <c r="W85" i="2"/>
  <c r="X85" i="2"/>
  <c r="N85" i="2"/>
  <c r="H135" i="2"/>
  <c r="I135" i="2" s="1"/>
  <c r="J135" i="2" s="1"/>
  <c r="G136" i="2" s="1"/>
  <c r="U136" i="2" s="1"/>
  <c r="T162" i="2" l="1"/>
  <c r="D162" i="2"/>
  <c r="C163" i="2" s="1"/>
  <c r="O85" i="2"/>
  <c r="P85" i="2" s="1"/>
  <c r="Q85" i="2" s="1"/>
  <c r="H136" i="2"/>
  <c r="I136" i="2" s="1"/>
  <c r="J136" i="2" s="1"/>
  <c r="G137" i="2" s="1"/>
  <c r="U137" i="2" s="1"/>
  <c r="T163" i="2" l="1"/>
  <c r="D163" i="2"/>
  <c r="C164" i="2" s="1"/>
  <c r="M86" i="2"/>
  <c r="V86" i="2" s="1"/>
  <c r="H137" i="2"/>
  <c r="I137" i="2" s="1"/>
  <c r="J137" i="2" s="1"/>
  <c r="G138" i="2" s="1"/>
  <c r="U138" i="2" s="1"/>
  <c r="T164" i="2" l="1"/>
  <c r="D164" i="2"/>
  <c r="C165" i="2" s="1"/>
  <c r="W86" i="2"/>
  <c r="X86" i="2"/>
  <c r="N86" i="2"/>
  <c r="O86" i="2" s="1"/>
  <c r="P86" i="2" s="1"/>
  <c r="Q86" i="2" s="1"/>
  <c r="H138" i="2"/>
  <c r="I138" i="2" s="1"/>
  <c r="J138" i="2" s="1"/>
  <c r="G139" i="2" s="1"/>
  <c r="U139" i="2" s="1"/>
  <c r="T165" i="2" l="1"/>
  <c r="D165" i="2"/>
  <c r="C166" i="2" s="1"/>
  <c r="M87" i="2"/>
  <c r="V87" i="2" s="1"/>
  <c r="H139" i="2"/>
  <c r="I139" i="2" s="1"/>
  <c r="J139" i="2" s="1"/>
  <c r="T166" i="2" l="1"/>
  <c r="D166" i="2"/>
  <c r="C167" i="2" s="1"/>
  <c r="W87" i="2"/>
  <c r="X87" i="2"/>
  <c r="N87" i="2"/>
  <c r="O87" i="2" s="1"/>
  <c r="P87" i="2" s="1"/>
  <c r="Q87" i="2" s="1"/>
  <c r="G140" i="2"/>
  <c r="U140" i="2" s="1"/>
  <c r="T167" i="2" l="1"/>
  <c r="D167" i="2"/>
  <c r="C168" i="2" s="1"/>
  <c r="M88" i="2"/>
  <c r="V88" i="2" s="1"/>
  <c r="H140" i="2"/>
  <c r="I140" i="2" s="1"/>
  <c r="J140" i="2" s="1"/>
  <c r="G141" i="2" s="1"/>
  <c r="U141" i="2" s="1"/>
  <c r="T168" i="2" l="1"/>
  <c r="D168" i="2"/>
  <c r="C169" i="2" s="1"/>
  <c r="W88" i="2"/>
  <c r="X88" i="2"/>
  <c r="N88" i="2"/>
  <c r="O88" i="2" s="1"/>
  <c r="P88" i="2" s="1"/>
  <c r="Q88" i="2" s="1"/>
  <c r="H141" i="2"/>
  <c r="I141" i="2"/>
  <c r="J141" i="2" s="1"/>
  <c r="G142" i="2" s="1"/>
  <c r="U142" i="2" s="1"/>
  <c r="T169" i="2" l="1"/>
  <c r="D169" i="2"/>
  <c r="C170" i="2" s="1"/>
  <c r="M89" i="2"/>
  <c r="V89" i="2" s="1"/>
  <c r="H142" i="2"/>
  <c r="T170" i="2" l="1"/>
  <c r="D170" i="2"/>
  <c r="C171" i="2" s="1"/>
  <c r="W89" i="2"/>
  <c r="X89" i="2"/>
  <c r="N89" i="2"/>
  <c r="O89" i="2" s="1"/>
  <c r="P89" i="2" s="1"/>
  <c r="Q89" i="2" s="1"/>
  <c r="I142" i="2"/>
  <c r="J142" i="2" s="1"/>
  <c r="G143" i="2" s="1"/>
  <c r="U143" i="2" s="1"/>
  <c r="T171" i="2" l="1"/>
  <c r="D171" i="2"/>
  <c r="C172" i="2" s="1"/>
  <c r="M90" i="2"/>
  <c r="V90" i="2" s="1"/>
  <c r="H143" i="2"/>
  <c r="I143" i="2" s="1"/>
  <c r="J143" i="2" s="1"/>
  <c r="G144" i="2" s="1"/>
  <c r="U144" i="2" s="1"/>
  <c r="T172" i="2" l="1"/>
  <c r="D172" i="2"/>
  <c r="C173" i="2" s="1"/>
  <c r="W90" i="2"/>
  <c r="X90" i="2"/>
  <c r="N90" i="2"/>
  <c r="O90" i="2" s="1"/>
  <c r="P90" i="2" s="1"/>
  <c r="Q90" i="2" s="1"/>
  <c r="H144" i="2"/>
  <c r="I144" i="2" s="1"/>
  <c r="J144" i="2" s="1"/>
  <c r="G145" i="2" s="1"/>
  <c r="U145" i="2" s="1"/>
  <c r="T173" i="2" l="1"/>
  <c r="D173" i="2"/>
  <c r="C174" i="2"/>
  <c r="M91" i="2"/>
  <c r="V91" i="2" s="1"/>
  <c r="H145" i="2"/>
  <c r="I145" i="2"/>
  <c r="J145" i="2" s="1"/>
  <c r="G146" i="2" s="1"/>
  <c r="U146" i="2" s="1"/>
  <c r="T174" i="2" l="1"/>
  <c r="D174" i="2"/>
  <c r="C175" i="2" s="1"/>
  <c r="W91" i="2"/>
  <c r="X91" i="2"/>
  <c r="N91" i="2"/>
  <c r="O91" i="2" s="1"/>
  <c r="P91" i="2" s="1"/>
  <c r="Q91" i="2" s="1"/>
  <c r="H146" i="2"/>
  <c r="I146" i="2" s="1"/>
  <c r="J146" i="2" s="1"/>
  <c r="T175" i="2" l="1"/>
  <c r="D175" i="2"/>
  <c r="C176" i="2" s="1"/>
  <c r="G147" i="2"/>
  <c r="U147" i="2" s="1"/>
  <c r="M92" i="2"/>
  <c r="V92" i="2" s="1"/>
  <c r="T176" i="2" l="1"/>
  <c r="D176" i="2"/>
  <c r="C177" i="2" s="1"/>
  <c r="H147" i="2"/>
  <c r="I147" i="2" s="1"/>
  <c r="J147" i="2" s="1"/>
  <c r="W92" i="2"/>
  <c r="X92" i="2"/>
  <c r="N92" i="2"/>
  <c r="O92" i="2" s="1"/>
  <c r="P92" i="2" s="1"/>
  <c r="Q92" i="2" s="1"/>
  <c r="G148" i="2" l="1"/>
  <c r="U148" i="2" s="1"/>
  <c r="T177" i="2"/>
  <c r="D177" i="2"/>
  <c r="C178" i="2" s="1"/>
  <c r="M93" i="2"/>
  <c r="V93" i="2" s="1"/>
  <c r="H148" i="2"/>
  <c r="I148" i="2" s="1"/>
  <c r="J148" i="2" s="1"/>
  <c r="G149" i="2" s="1"/>
  <c r="U149" i="2" s="1"/>
  <c r="T178" i="2" l="1"/>
  <c r="D178" i="2"/>
  <c r="C179" i="2" s="1"/>
  <c r="W93" i="2"/>
  <c r="X93" i="2"/>
  <c r="N93" i="2"/>
  <c r="H149" i="2"/>
  <c r="I149" i="2"/>
  <c r="J149" i="2" s="1"/>
  <c r="T179" i="2" l="1"/>
  <c r="D179" i="2"/>
  <c r="C180" i="2" s="1"/>
  <c r="G150" i="2"/>
  <c r="U150" i="2" s="1"/>
  <c r="O93" i="2"/>
  <c r="P93" i="2" s="1"/>
  <c r="Q93" i="2" s="1"/>
  <c r="H150" i="2" l="1"/>
  <c r="I150" i="2" s="1"/>
  <c r="J150" i="2" s="1"/>
  <c r="G151" i="2" s="1"/>
  <c r="U151" i="2" s="1"/>
  <c r="T180" i="2"/>
  <c r="D180" i="2"/>
  <c r="C181" i="2" s="1"/>
  <c r="M94" i="2"/>
  <c r="V94" i="2" s="1"/>
  <c r="T181" i="2" l="1"/>
  <c r="D181" i="2"/>
  <c r="C182" i="2" s="1"/>
  <c r="W94" i="2"/>
  <c r="X94" i="2"/>
  <c r="N94" i="2"/>
  <c r="H151" i="2"/>
  <c r="I151" i="2" s="1"/>
  <c r="J151" i="2" s="1"/>
  <c r="G152" i="2" s="1"/>
  <c r="U152" i="2" s="1"/>
  <c r="T182" i="2" l="1"/>
  <c r="D182" i="2"/>
  <c r="C183" i="2" s="1"/>
  <c r="O94" i="2"/>
  <c r="P94" i="2" s="1"/>
  <c r="Q94" i="2" s="1"/>
  <c r="H152" i="2"/>
  <c r="I152" i="2" s="1"/>
  <c r="J152" i="2" s="1"/>
  <c r="G153" i="2" s="1"/>
  <c r="U153" i="2" s="1"/>
  <c r="T183" i="2" l="1"/>
  <c r="D183" i="2"/>
  <c r="C184" i="2" s="1"/>
  <c r="M95" i="2"/>
  <c r="V95" i="2" s="1"/>
  <c r="H153" i="2"/>
  <c r="I153" i="2" s="1"/>
  <c r="J153" i="2" s="1"/>
  <c r="G154" i="2" s="1"/>
  <c r="U154" i="2" s="1"/>
  <c r="T184" i="2" l="1"/>
  <c r="D184" i="2"/>
  <c r="C185" i="2" s="1"/>
  <c r="W95" i="2"/>
  <c r="X95" i="2"/>
  <c r="N95" i="2"/>
  <c r="H154" i="2"/>
  <c r="I154" i="2"/>
  <c r="J154" i="2" s="1"/>
  <c r="G155" i="2" s="1"/>
  <c r="U155" i="2" s="1"/>
  <c r="T185" i="2" l="1"/>
  <c r="D185" i="2"/>
  <c r="C186" i="2" s="1"/>
  <c r="O95" i="2"/>
  <c r="P95" i="2" s="1"/>
  <c r="Q95" i="2" s="1"/>
  <c r="H155" i="2"/>
  <c r="I155" i="2" s="1"/>
  <c r="J155" i="2" s="1"/>
  <c r="T186" i="2" l="1"/>
  <c r="D186" i="2"/>
  <c r="C187" i="2" s="1"/>
  <c r="M96" i="2"/>
  <c r="V96" i="2" s="1"/>
  <c r="G156" i="2"/>
  <c r="U156" i="2" s="1"/>
  <c r="T187" i="2" l="1"/>
  <c r="D187" i="2"/>
  <c r="C188" i="2" s="1"/>
  <c r="W96" i="2"/>
  <c r="X96" i="2"/>
  <c r="N96" i="2"/>
  <c r="O96" i="2" s="1"/>
  <c r="P96" i="2" s="1"/>
  <c r="Q96" i="2" s="1"/>
  <c r="H156" i="2"/>
  <c r="I156" i="2" s="1"/>
  <c r="J156" i="2" s="1"/>
  <c r="G157" i="2" s="1"/>
  <c r="U157" i="2" s="1"/>
  <c r="T188" i="2" l="1"/>
  <c r="D188" i="2"/>
  <c r="C189" i="2" s="1"/>
  <c r="M97" i="2"/>
  <c r="V97" i="2" s="1"/>
  <c r="H157" i="2"/>
  <c r="I157" i="2" s="1"/>
  <c r="J157" i="2" s="1"/>
  <c r="G158" i="2" s="1"/>
  <c r="U158" i="2" s="1"/>
  <c r="T189" i="2" l="1"/>
  <c r="D189" i="2"/>
  <c r="C190" i="2" s="1"/>
  <c r="W97" i="2"/>
  <c r="X97" i="2"/>
  <c r="N97" i="2"/>
  <c r="O97" i="2" s="1"/>
  <c r="H158" i="2"/>
  <c r="I158" i="2" s="1"/>
  <c r="J158" i="2" s="1"/>
  <c r="T190" i="2" l="1"/>
  <c r="D190" i="2"/>
  <c r="C191" i="2" s="1"/>
  <c r="G159" i="2"/>
  <c r="U159" i="2" s="1"/>
  <c r="P97" i="2"/>
  <c r="Q97" i="2" s="1"/>
  <c r="T191" i="2" l="1"/>
  <c r="D191" i="2"/>
  <c r="C192" i="2" s="1"/>
  <c r="H159" i="2"/>
  <c r="I159" i="2" s="1"/>
  <c r="J159" i="2" s="1"/>
  <c r="G160" i="2" s="1"/>
  <c r="U160" i="2" s="1"/>
  <c r="M98" i="2"/>
  <c r="V98" i="2" s="1"/>
  <c r="H160" i="2" l="1"/>
  <c r="I160" i="2" s="1"/>
  <c r="J160" i="2" s="1"/>
  <c r="G161" i="2" s="1"/>
  <c r="U161" i="2" s="1"/>
  <c r="W98" i="2"/>
  <c r="X98" i="2"/>
  <c r="T192" i="2"/>
  <c r="D192" i="2"/>
  <c r="C193" i="2" s="1"/>
  <c r="N98" i="2"/>
  <c r="O98" i="2" s="1"/>
  <c r="P98" i="2" s="1"/>
  <c r="Q98" i="2" s="1"/>
  <c r="H161" i="2" l="1"/>
  <c r="I161" i="2" s="1"/>
  <c r="J161" i="2" s="1"/>
  <c r="G162" i="2" s="1"/>
  <c r="T193" i="2"/>
  <c r="D193" i="2"/>
  <c r="C194" i="2" s="1"/>
  <c r="M99" i="2"/>
  <c r="V99" i="2" s="1"/>
  <c r="U162" i="2" l="1"/>
  <c r="H162" i="2"/>
  <c r="I162" i="2" s="1"/>
  <c r="J162" i="2" s="1"/>
  <c r="G163" i="2" s="1"/>
  <c r="U163" i="2" s="1"/>
  <c r="W99" i="2"/>
  <c r="X99" i="2"/>
  <c r="T194" i="2"/>
  <c r="D194" i="2"/>
  <c r="C195" i="2" s="1"/>
  <c r="N99" i="2"/>
  <c r="O99" i="2" s="1"/>
  <c r="H163" i="2"/>
  <c r="I163" i="2" s="1"/>
  <c r="J163" i="2" s="1"/>
  <c r="T195" i="2" l="1"/>
  <c r="D195" i="2"/>
  <c r="C196" i="2" s="1"/>
  <c r="P99" i="2"/>
  <c r="Q99" i="2" s="1"/>
  <c r="G164" i="2"/>
  <c r="U164" i="2" s="1"/>
  <c r="T196" i="2" l="1"/>
  <c r="D196" i="2"/>
  <c r="C197" i="2" s="1"/>
  <c r="M100" i="2"/>
  <c r="V100" i="2" s="1"/>
  <c r="H164" i="2"/>
  <c r="I164" i="2" s="1"/>
  <c r="J164" i="2" s="1"/>
  <c r="G165" i="2" s="1"/>
  <c r="U165" i="2" s="1"/>
  <c r="T197" i="2" l="1"/>
  <c r="D197" i="2"/>
  <c r="C198" i="2" s="1"/>
  <c r="W100" i="2"/>
  <c r="X100" i="2"/>
  <c r="N100" i="2"/>
  <c r="O100" i="2" s="1"/>
  <c r="P100" i="2" s="1"/>
  <c r="Q100" i="2" s="1"/>
  <c r="H165" i="2"/>
  <c r="T198" i="2" l="1"/>
  <c r="D198" i="2"/>
  <c r="C199" i="2" s="1"/>
  <c r="M101" i="2"/>
  <c r="V101" i="2" s="1"/>
  <c r="I165" i="2"/>
  <c r="J165" i="2" s="1"/>
  <c r="G166" i="2" s="1"/>
  <c r="U166" i="2" s="1"/>
  <c r="W101" i="2" l="1"/>
  <c r="X101" i="2"/>
  <c r="T199" i="2"/>
  <c r="D199" i="2"/>
  <c r="C200" i="2" s="1"/>
  <c r="N101" i="2"/>
  <c r="O101" i="2" s="1"/>
  <c r="P101" i="2" s="1"/>
  <c r="Q101" i="2" s="1"/>
  <c r="H166" i="2"/>
  <c r="T200" i="2" l="1"/>
  <c r="D200" i="2"/>
  <c r="C201" i="2" s="1"/>
  <c r="M102" i="2"/>
  <c r="V102" i="2" s="1"/>
  <c r="I166" i="2"/>
  <c r="J166" i="2" s="1"/>
  <c r="G167" i="2" s="1"/>
  <c r="U167" i="2" s="1"/>
  <c r="T201" i="2" l="1"/>
  <c r="D201" i="2"/>
  <c r="C202" i="2" s="1"/>
  <c r="W102" i="2"/>
  <c r="X102" i="2"/>
  <c r="N102" i="2"/>
  <c r="O102" i="2" s="1"/>
  <c r="P102" i="2" s="1"/>
  <c r="Q102" i="2" s="1"/>
  <c r="H167" i="2"/>
  <c r="I167" i="2" s="1"/>
  <c r="J167" i="2" s="1"/>
  <c r="G168" i="2" s="1"/>
  <c r="U168" i="2" s="1"/>
  <c r="T202" i="2" l="1"/>
  <c r="D202" i="2"/>
  <c r="C203" i="2" s="1"/>
  <c r="M103" i="2"/>
  <c r="V103" i="2" s="1"/>
  <c r="H168" i="2"/>
  <c r="I168" i="2" s="1"/>
  <c r="J168" i="2" s="1"/>
  <c r="G169" i="2" s="1"/>
  <c r="U169" i="2" s="1"/>
  <c r="T203" i="2" l="1"/>
  <c r="D203" i="2"/>
  <c r="C204" i="2" s="1"/>
  <c r="W103" i="2"/>
  <c r="X103" i="2"/>
  <c r="N103" i="2"/>
  <c r="O103" i="2" s="1"/>
  <c r="H169" i="2"/>
  <c r="I169" i="2" s="1"/>
  <c r="J169" i="2" s="1"/>
  <c r="G170" i="2" s="1"/>
  <c r="U170" i="2" s="1"/>
  <c r="T204" i="2" l="1"/>
  <c r="D204" i="2"/>
  <c r="C205" i="2" s="1"/>
  <c r="P103" i="2"/>
  <c r="Q103" i="2" s="1"/>
  <c r="M104" i="2" s="1"/>
  <c r="V104" i="2" s="1"/>
  <c r="H170" i="2"/>
  <c r="I170" i="2" s="1"/>
  <c r="J170" i="2" s="1"/>
  <c r="G171" i="2" s="1"/>
  <c r="U171" i="2" s="1"/>
  <c r="T205" i="2" l="1"/>
  <c r="D205" i="2"/>
  <c r="C206" i="2" s="1"/>
  <c r="W104" i="2"/>
  <c r="X104" i="2"/>
  <c r="N104" i="2"/>
  <c r="O104" i="2" s="1"/>
  <c r="P104" i="2" s="1"/>
  <c r="Q104" i="2" s="1"/>
  <c r="H171" i="2"/>
  <c r="I171" i="2" s="1"/>
  <c r="J171" i="2" s="1"/>
  <c r="T206" i="2" l="1"/>
  <c r="D206" i="2"/>
  <c r="C207" i="2" s="1"/>
  <c r="M105" i="2"/>
  <c r="V105" i="2" s="1"/>
  <c r="G172" i="2"/>
  <c r="U172" i="2" s="1"/>
  <c r="T207" i="2" l="1"/>
  <c r="D207" i="2"/>
  <c r="C208" i="2" s="1"/>
  <c r="W105" i="2"/>
  <c r="X105" i="2"/>
  <c r="N105" i="2"/>
  <c r="O105" i="2" s="1"/>
  <c r="P105" i="2" s="1"/>
  <c r="Q105" i="2" s="1"/>
  <c r="H172" i="2"/>
  <c r="I172" i="2" s="1"/>
  <c r="J172" i="2" s="1"/>
  <c r="G173" i="2" s="1"/>
  <c r="U173" i="2" s="1"/>
  <c r="T208" i="2" l="1"/>
  <c r="D208" i="2"/>
  <c r="C209" i="2" s="1"/>
  <c r="M106" i="2"/>
  <c r="V106" i="2" s="1"/>
  <c r="H173" i="2"/>
  <c r="I173" i="2" s="1"/>
  <c r="J173" i="2" s="1"/>
  <c r="G174" i="2" s="1"/>
  <c r="U174" i="2" s="1"/>
  <c r="T209" i="2" l="1"/>
  <c r="D209" i="2"/>
  <c r="C210" i="2" s="1"/>
  <c r="W106" i="2"/>
  <c r="X106" i="2"/>
  <c r="N106" i="2"/>
  <c r="O106" i="2" s="1"/>
  <c r="P106" i="2" s="1"/>
  <c r="Q106" i="2" s="1"/>
  <c r="H174" i="2"/>
  <c r="T210" i="2" l="1"/>
  <c r="D210" i="2"/>
  <c r="C211" i="2"/>
  <c r="M107" i="2"/>
  <c r="V107" i="2" s="1"/>
  <c r="I174" i="2"/>
  <c r="J174" i="2" s="1"/>
  <c r="G175" i="2" s="1"/>
  <c r="U175" i="2" s="1"/>
  <c r="T211" i="2" l="1"/>
  <c r="D211" i="2"/>
  <c r="C212" i="2" s="1"/>
  <c r="W107" i="2"/>
  <c r="X107" i="2"/>
  <c r="N107" i="2"/>
  <c r="H175" i="2"/>
  <c r="I175" i="2" s="1"/>
  <c r="J175" i="2" s="1"/>
  <c r="T212" i="2" l="1"/>
  <c r="D212" i="2"/>
  <c r="C213" i="2" s="1"/>
  <c r="O107" i="2"/>
  <c r="P107" i="2" s="1"/>
  <c r="Q107" i="2" s="1"/>
  <c r="G176" i="2"/>
  <c r="U176" i="2" s="1"/>
  <c r="T213" i="2" l="1"/>
  <c r="D213" i="2"/>
  <c r="C214" i="2" s="1"/>
  <c r="M108" i="2"/>
  <c r="V108" i="2" s="1"/>
  <c r="H176" i="2"/>
  <c r="I176" i="2" s="1"/>
  <c r="J176" i="2" s="1"/>
  <c r="G177" i="2" s="1"/>
  <c r="U177" i="2" s="1"/>
  <c r="T214" i="2" l="1"/>
  <c r="D214" i="2"/>
  <c r="C215" i="2" s="1"/>
  <c r="W108" i="2"/>
  <c r="X108" i="2"/>
  <c r="N108" i="2"/>
  <c r="O108" i="2" s="1"/>
  <c r="P108" i="2" s="1"/>
  <c r="Q108" i="2" s="1"/>
  <c r="H177" i="2"/>
  <c r="I177" i="2" s="1"/>
  <c r="J177" i="2" s="1"/>
  <c r="G178" i="2" s="1"/>
  <c r="U178" i="2" s="1"/>
  <c r="T215" i="2" l="1"/>
  <c r="D215" i="2"/>
  <c r="C216" i="2" s="1"/>
  <c r="M109" i="2"/>
  <c r="V109" i="2" s="1"/>
  <c r="H178" i="2"/>
  <c r="I178" i="2" s="1"/>
  <c r="J178" i="2" s="1"/>
  <c r="G179" i="2" s="1"/>
  <c r="U179" i="2" s="1"/>
  <c r="T216" i="2" l="1"/>
  <c r="D216" i="2"/>
  <c r="C217" i="2" s="1"/>
  <c r="W109" i="2"/>
  <c r="X109" i="2"/>
  <c r="N109" i="2"/>
  <c r="O109" i="2" s="1"/>
  <c r="P109" i="2" s="1"/>
  <c r="Q109" i="2" s="1"/>
  <c r="H179" i="2"/>
  <c r="I179" i="2" s="1"/>
  <c r="J179" i="2" s="1"/>
  <c r="T217" i="2" l="1"/>
  <c r="D217" i="2"/>
  <c r="C218" i="2" s="1"/>
  <c r="M110" i="2"/>
  <c r="V110" i="2" s="1"/>
  <c r="G180" i="2"/>
  <c r="U180" i="2" s="1"/>
  <c r="T218" i="2" l="1"/>
  <c r="D218" i="2"/>
  <c r="C219" i="2" s="1"/>
  <c r="W110" i="2"/>
  <c r="X110" i="2"/>
  <c r="N110" i="2"/>
  <c r="O110" i="2"/>
  <c r="P110" i="2" s="1"/>
  <c r="Q110" i="2" s="1"/>
  <c r="H180" i="2"/>
  <c r="T219" i="2" l="1"/>
  <c r="D219" i="2"/>
  <c r="C220" i="2" s="1"/>
  <c r="M111" i="2"/>
  <c r="V111" i="2" s="1"/>
  <c r="I180" i="2"/>
  <c r="J180" i="2" s="1"/>
  <c r="G181" i="2" s="1"/>
  <c r="U181" i="2" s="1"/>
  <c r="N111" i="2" l="1"/>
  <c r="W111" i="2"/>
  <c r="X111" i="2"/>
  <c r="T220" i="2"/>
  <c r="D220" i="2"/>
  <c r="C221" i="2" s="1"/>
  <c r="O111" i="2"/>
  <c r="P111" i="2" s="1"/>
  <c r="Q111" i="2" s="1"/>
  <c r="H181" i="2"/>
  <c r="T221" i="2" l="1"/>
  <c r="D221" i="2"/>
  <c r="C222" i="2" s="1"/>
  <c r="M112" i="2"/>
  <c r="V112" i="2" s="1"/>
  <c r="I181" i="2"/>
  <c r="J181" i="2" s="1"/>
  <c r="G182" i="2" s="1"/>
  <c r="U182" i="2" s="1"/>
  <c r="W112" i="2" l="1"/>
  <c r="X112" i="2"/>
  <c r="T222" i="2"/>
  <c r="D222" i="2"/>
  <c r="C223" i="2" s="1"/>
  <c r="N112" i="2"/>
  <c r="O112" i="2" s="1"/>
  <c r="P112" i="2" s="1"/>
  <c r="Q112" i="2" s="1"/>
  <c r="H182" i="2"/>
  <c r="T223" i="2" l="1"/>
  <c r="D223" i="2"/>
  <c r="C224" i="2" s="1"/>
  <c r="M113" i="2"/>
  <c r="V113" i="2" s="1"/>
  <c r="I182" i="2"/>
  <c r="J182" i="2" s="1"/>
  <c r="G183" i="2" s="1"/>
  <c r="U183" i="2" s="1"/>
  <c r="W113" i="2" l="1"/>
  <c r="X113" i="2"/>
  <c r="T224" i="2"/>
  <c r="D224" i="2"/>
  <c r="C225" i="2" s="1"/>
  <c r="N113" i="2"/>
  <c r="O113" i="2" s="1"/>
  <c r="P113" i="2" s="1"/>
  <c r="Q113" i="2" s="1"/>
  <c r="H183" i="2"/>
  <c r="I183" i="2" s="1"/>
  <c r="J183" i="2" s="1"/>
  <c r="G184" i="2" s="1"/>
  <c r="U184" i="2" s="1"/>
  <c r="T225" i="2" l="1"/>
  <c r="D225" i="2"/>
  <c r="C226" i="2" s="1"/>
  <c r="M114" i="2"/>
  <c r="V114" i="2" s="1"/>
  <c r="H184" i="2"/>
  <c r="I184" i="2" s="1"/>
  <c r="J184" i="2" s="1"/>
  <c r="G185" i="2" s="1"/>
  <c r="U185" i="2" s="1"/>
  <c r="T226" i="2" l="1"/>
  <c r="D226" i="2"/>
  <c r="C227" i="2" s="1"/>
  <c r="W114" i="2"/>
  <c r="X114" i="2"/>
  <c r="N114" i="2"/>
  <c r="O114" i="2" s="1"/>
  <c r="H185" i="2"/>
  <c r="I185" i="2" s="1"/>
  <c r="J185" i="2" s="1"/>
  <c r="G186" i="2" s="1"/>
  <c r="U186" i="2" s="1"/>
  <c r="T227" i="2" l="1"/>
  <c r="D227" i="2"/>
  <c r="C228" i="2" s="1"/>
  <c r="P114" i="2"/>
  <c r="Q114" i="2" s="1"/>
  <c r="H186" i="2"/>
  <c r="I186" i="2" s="1"/>
  <c r="J186" i="2" s="1"/>
  <c r="G187" i="2" s="1"/>
  <c r="U187" i="2" s="1"/>
  <c r="T228" i="2" l="1"/>
  <c r="D228" i="2"/>
  <c r="C229" i="2" s="1"/>
  <c r="M115" i="2"/>
  <c r="V115" i="2" s="1"/>
  <c r="H187" i="2"/>
  <c r="I187" i="2" s="1"/>
  <c r="J187" i="2" s="1"/>
  <c r="T229" i="2" l="1"/>
  <c r="D229" i="2"/>
  <c r="C230" i="2" s="1"/>
  <c r="W115" i="2"/>
  <c r="X115" i="2"/>
  <c r="N115" i="2"/>
  <c r="O115" i="2" s="1"/>
  <c r="P115" i="2" s="1"/>
  <c r="Q115" i="2" s="1"/>
  <c r="G188" i="2"/>
  <c r="U188" i="2" s="1"/>
  <c r="T230" i="2" l="1"/>
  <c r="D230" i="2"/>
  <c r="C231" i="2"/>
  <c r="M116" i="2"/>
  <c r="V116" i="2" s="1"/>
  <c r="H188" i="2"/>
  <c r="I188" i="2" s="1"/>
  <c r="J188" i="2" s="1"/>
  <c r="G189" i="2" s="1"/>
  <c r="U189" i="2" s="1"/>
  <c r="W116" i="2" l="1"/>
  <c r="X116" i="2"/>
  <c r="T231" i="2"/>
  <c r="D231" i="2"/>
  <c r="C232" i="2" s="1"/>
  <c r="N116" i="2"/>
  <c r="O116" i="2" s="1"/>
  <c r="P116" i="2" s="1"/>
  <c r="Q116" i="2" s="1"/>
  <c r="H189" i="2"/>
  <c r="I189" i="2" s="1"/>
  <c r="J189" i="2" s="1"/>
  <c r="G190" i="2" s="1"/>
  <c r="U190" i="2" s="1"/>
  <c r="T232" i="2" l="1"/>
  <c r="D232" i="2"/>
  <c r="C233" i="2" s="1"/>
  <c r="M117" i="2"/>
  <c r="V117" i="2" s="1"/>
  <c r="H190" i="2"/>
  <c r="T233" i="2" l="1"/>
  <c r="D233" i="2"/>
  <c r="C234" i="2" s="1"/>
  <c r="W117" i="2"/>
  <c r="X117" i="2"/>
  <c r="I190" i="2"/>
  <c r="J190" i="2" s="1"/>
  <c r="G191" i="2" s="1"/>
  <c r="N117" i="2"/>
  <c r="O117" i="2" s="1"/>
  <c r="P117" i="2" s="1"/>
  <c r="Q117" i="2" s="1"/>
  <c r="T234" i="2" l="1"/>
  <c r="D234" i="2"/>
  <c r="C235" i="2" s="1"/>
  <c r="H191" i="2"/>
  <c r="I191" i="2" s="1"/>
  <c r="J191" i="2" s="1"/>
  <c r="G192" i="2" s="1"/>
  <c r="U192" i="2" s="1"/>
  <c r="U191" i="2"/>
  <c r="M118" i="2"/>
  <c r="V118" i="2" s="1"/>
  <c r="H192" i="2" l="1"/>
  <c r="T235" i="2"/>
  <c r="D235" i="2"/>
  <c r="C236" i="2"/>
  <c r="W118" i="2"/>
  <c r="X118" i="2"/>
  <c r="N118" i="2"/>
  <c r="O118" i="2" s="1"/>
  <c r="P118" i="2" s="1"/>
  <c r="Q118" i="2" s="1"/>
  <c r="I192" i="2"/>
  <c r="J192" i="2" s="1"/>
  <c r="G193" i="2" s="1"/>
  <c r="U193" i="2" s="1"/>
  <c r="T236" i="2" l="1"/>
  <c r="D236" i="2"/>
  <c r="C237" i="2" s="1"/>
  <c r="M119" i="2"/>
  <c r="V119" i="2" s="1"/>
  <c r="N119" i="2"/>
  <c r="O119" i="2" s="1"/>
  <c r="H193" i="2"/>
  <c r="I193" i="2" s="1"/>
  <c r="J193" i="2" s="1"/>
  <c r="G194" i="2" s="1"/>
  <c r="U194" i="2" s="1"/>
  <c r="T237" i="2" l="1"/>
  <c r="D237" i="2"/>
  <c r="C238" i="2" s="1"/>
  <c r="W119" i="2"/>
  <c r="X119" i="2"/>
  <c r="P119" i="2"/>
  <c r="Q119" i="2" s="1"/>
  <c r="H194" i="2"/>
  <c r="I194" i="2" l="1"/>
  <c r="J194" i="2" s="1"/>
  <c r="G195" i="2" s="1"/>
  <c r="T238" i="2"/>
  <c r="D238" i="2"/>
  <c r="C239" i="2" s="1"/>
  <c r="M120" i="2"/>
  <c r="V120" i="2" s="1"/>
  <c r="T239" i="2" l="1"/>
  <c r="D239" i="2"/>
  <c r="C240" i="2"/>
  <c r="U195" i="2"/>
  <c r="H195" i="2"/>
  <c r="I195" i="2" s="1"/>
  <c r="J195" i="2" s="1"/>
  <c r="W120" i="2"/>
  <c r="X120" i="2"/>
  <c r="N120" i="2"/>
  <c r="G196" i="2" l="1"/>
  <c r="U196" i="2" s="1"/>
  <c r="T240" i="2"/>
  <c r="D240" i="2"/>
  <c r="C241" i="2" s="1"/>
  <c r="O120" i="2"/>
  <c r="P120" i="2" s="1"/>
  <c r="Q120" i="2" s="1"/>
  <c r="H196" i="2"/>
  <c r="I196" i="2" s="1"/>
  <c r="J196" i="2" s="1"/>
  <c r="G197" i="2" s="1"/>
  <c r="U197" i="2" s="1"/>
  <c r="T241" i="2" l="1"/>
  <c r="D241" i="2"/>
  <c r="C242" i="2" s="1"/>
  <c r="M121" i="2"/>
  <c r="V121" i="2" s="1"/>
  <c r="H197" i="2"/>
  <c r="I197" i="2" s="1"/>
  <c r="J197" i="2" s="1"/>
  <c r="G198" i="2" s="1"/>
  <c r="U198" i="2" s="1"/>
  <c r="W121" i="2" l="1"/>
  <c r="X121" i="2"/>
  <c r="T242" i="2"/>
  <c r="D242" i="2"/>
  <c r="C243" i="2" s="1"/>
  <c r="N121" i="2"/>
  <c r="O121" i="2" s="1"/>
  <c r="H198" i="2"/>
  <c r="T243" i="2" l="1"/>
  <c r="D243" i="2"/>
  <c r="C244" i="2"/>
  <c r="P121" i="2"/>
  <c r="Q121" i="2" s="1"/>
  <c r="I198" i="2"/>
  <c r="J198" i="2" s="1"/>
  <c r="G199" i="2" s="1"/>
  <c r="U199" i="2" s="1"/>
  <c r="T244" i="2" l="1"/>
  <c r="D244" i="2"/>
  <c r="C245" i="2" s="1"/>
  <c r="M122" i="2"/>
  <c r="V122" i="2" s="1"/>
  <c r="H199" i="2"/>
  <c r="I199" i="2" s="1"/>
  <c r="J199" i="2" s="1"/>
  <c r="T245" i="2" l="1"/>
  <c r="D245" i="2"/>
  <c r="C246" i="2" s="1"/>
  <c r="W122" i="2"/>
  <c r="X122" i="2"/>
  <c r="N122" i="2"/>
  <c r="O122" i="2" s="1"/>
  <c r="P122" i="2" s="1"/>
  <c r="Q122" i="2" s="1"/>
  <c r="G200" i="2"/>
  <c r="U200" i="2" s="1"/>
  <c r="T246" i="2" l="1"/>
  <c r="D246" i="2"/>
  <c r="C247" i="2" s="1"/>
  <c r="M123" i="2"/>
  <c r="V123" i="2" s="1"/>
  <c r="H200" i="2"/>
  <c r="I200" i="2" s="1"/>
  <c r="J200" i="2" s="1"/>
  <c r="G201" i="2" s="1"/>
  <c r="U201" i="2" s="1"/>
  <c r="T247" i="2" l="1"/>
  <c r="D247" i="2"/>
  <c r="C248" i="2" s="1"/>
  <c r="W123" i="2"/>
  <c r="X123" i="2"/>
  <c r="N123" i="2"/>
  <c r="O123" i="2" s="1"/>
  <c r="P123" i="2" s="1"/>
  <c r="Q123" i="2" s="1"/>
  <c r="H201" i="2"/>
  <c r="I201" i="2" s="1"/>
  <c r="J201" i="2" s="1"/>
  <c r="G202" i="2" s="1"/>
  <c r="U202" i="2" s="1"/>
  <c r="T248" i="2" l="1"/>
  <c r="D248" i="2"/>
  <c r="C249" i="2" s="1"/>
  <c r="M124" i="2"/>
  <c r="V124" i="2" s="1"/>
  <c r="H202" i="2"/>
  <c r="I202" i="2" s="1"/>
  <c r="J202" i="2" s="1"/>
  <c r="G203" i="2" s="1"/>
  <c r="U203" i="2" s="1"/>
  <c r="T249" i="2" l="1"/>
  <c r="D249" i="2"/>
  <c r="C250" i="2" s="1"/>
  <c r="W124" i="2"/>
  <c r="X124" i="2"/>
  <c r="N124" i="2"/>
  <c r="H203" i="2"/>
  <c r="I203" i="2" s="1"/>
  <c r="J203" i="2" s="1"/>
  <c r="T250" i="2" l="1"/>
  <c r="D250" i="2"/>
  <c r="C251" i="2" s="1"/>
  <c r="O124" i="2"/>
  <c r="P124" i="2" s="1"/>
  <c r="Q124" i="2" s="1"/>
  <c r="G204" i="2"/>
  <c r="U204" i="2" s="1"/>
  <c r="T251" i="2" l="1"/>
  <c r="D251" i="2"/>
  <c r="C252" i="2" s="1"/>
  <c r="M125" i="2"/>
  <c r="V125" i="2" s="1"/>
  <c r="H204" i="2"/>
  <c r="I204" i="2" s="1"/>
  <c r="J204" i="2" s="1"/>
  <c r="G205" i="2" s="1"/>
  <c r="U205" i="2" s="1"/>
  <c r="T252" i="2" l="1"/>
  <c r="D252" i="2"/>
  <c r="C253" i="2" s="1"/>
  <c r="W125" i="2"/>
  <c r="X125" i="2"/>
  <c r="N125" i="2"/>
  <c r="O125" i="2" s="1"/>
  <c r="P125" i="2" s="1"/>
  <c r="Q125" i="2" s="1"/>
  <c r="H205" i="2"/>
  <c r="I205" i="2" s="1"/>
  <c r="J205" i="2" s="1"/>
  <c r="G206" i="2" s="1"/>
  <c r="U206" i="2" s="1"/>
  <c r="T253" i="2" l="1"/>
  <c r="D253" i="2"/>
  <c r="C254" i="2" s="1"/>
  <c r="M126" i="2"/>
  <c r="V126" i="2" s="1"/>
  <c r="H206" i="2"/>
  <c r="I206" i="2" s="1"/>
  <c r="J206" i="2" s="1"/>
  <c r="W126" i="2" l="1"/>
  <c r="X126" i="2"/>
  <c r="T254" i="2"/>
  <c r="D254" i="2"/>
  <c r="C255" i="2" s="1"/>
  <c r="G207" i="2"/>
  <c r="U207" i="2" s="1"/>
  <c r="N126" i="2"/>
  <c r="O126" i="2" s="1"/>
  <c r="P126" i="2" s="1"/>
  <c r="Q126" i="2" s="1"/>
  <c r="T255" i="2" l="1"/>
  <c r="D255" i="2"/>
  <c r="C256" i="2"/>
  <c r="H207" i="2"/>
  <c r="I207" i="2" s="1"/>
  <c r="J207" i="2" s="1"/>
  <c r="M127" i="2"/>
  <c r="V127" i="2" s="1"/>
  <c r="T256" i="2" l="1"/>
  <c r="D256" i="2"/>
  <c r="C257" i="2" s="1"/>
  <c r="W127" i="2"/>
  <c r="X127" i="2"/>
  <c r="G208" i="2"/>
  <c r="U208" i="2" s="1"/>
  <c r="N127" i="2"/>
  <c r="O127" i="2" s="1"/>
  <c r="P127" i="2" s="1"/>
  <c r="Q127" i="2" s="1"/>
  <c r="T257" i="2" l="1"/>
  <c r="D257" i="2"/>
  <c r="C258" i="2" s="1"/>
  <c r="H208" i="2"/>
  <c r="I208" i="2" s="1"/>
  <c r="J208" i="2" s="1"/>
  <c r="G209" i="2" s="1"/>
  <c r="M128" i="2"/>
  <c r="V128" i="2" s="1"/>
  <c r="T258" i="2" l="1"/>
  <c r="D258" i="2"/>
  <c r="C259" i="2" s="1"/>
  <c r="W128" i="2"/>
  <c r="X128" i="2"/>
  <c r="U209" i="2"/>
  <c r="H209" i="2"/>
  <c r="I209" i="2" s="1"/>
  <c r="J209" i="2" s="1"/>
  <c r="G210" i="2" s="1"/>
  <c r="N128" i="2"/>
  <c r="O128" i="2" s="1"/>
  <c r="P128" i="2" s="1"/>
  <c r="Q128" i="2" s="1"/>
  <c r="T259" i="2" l="1"/>
  <c r="D259" i="2"/>
  <c r="C260" i="2" s="1"/>
  <c r="U210" i="2"/>
  <c r="H210" i="2"/>
  <c r="I210" i="2" s="1"/>
  <c r="J210" i="2" s="1"/>
  <c r="G211" i="2" s="1"/>
  <c r="U211" i="2" s="1"/>
  <c r="M129" i="2"/>
  <c r="V129" i="2" s="1"/>
  <c r="T260" i="2" l="1"/>
  <c r="D260" i="2"/>
  <c r="C261" i="2" s="1"/>
  <c r="W129" i="2"/>
  <c r="X129" i="2"/>
  <c r="H211" i="2"/>
  <c r="I211" i="2" s="1"/>
  <c r="J211" i="2" s="1"/>
  <c r="N129" i="2"/>
  <c r="O129" i="2" s="1"/>
  <c r="G212" i="2" l="1"/>
  <c r="U212" i="2" s="1"/>
  <c r="T261" i="2"/>
  <c r="D261" i="2"/>
  <c r="C262" i="2" s="1"/>
  <c r="P129" i="2"/>
  <c r="Q129" i="2" s="1"/>
  <c r="H212" i="2"/>
  <c r="I212" i="2" l="1"/>
  <c r="J212" i="2" s="1"/>
  <c r="G213" i="2" s="1"/>
  <c r="U213" i="2" s="1"/>
  <c r="T262" i="2"/>
  <c r="D262" i="2"/>
  <c r="C263" i="2" s="1"/>
  <c r="M130" i="2"/>
  <c r="V130" i="2" s="1"/>
  <c r="H213" i="2"/>
  <c r="I213" i="2" s="1"/>
  <c r="J213" i="2" s="1"/>
  <c r="G214" i="2" s="1"/>
  <c r="U214" i="2" s="1"/>
  <c r="T263" i="2" l="1"/>
  <c r="D263" i="2"/>
  <c r="C264" i="2" s="1"/>
  <c r="W130" i="2"/>
  <c r="X130" i="2"/>
  <c r="N130" i="2"/>
  <c r="H214" i="2"/>
  <c r="T264" i="2" l="1"/>
  <c r="D264" i="2"/>
  <c r="C265" i="2" s="1"/>
  <c r="O130" i="2"/>
  <c r="P130" i="2" s="1"/>
  <c r="Q130" i="2" s="1"/>
  <c r="I214" i="2"/>
  <c r="J214" i="2" s="1"/>
  <c r="G215" i="2" s="1"/>
  <c r="U215" i="2" s="1"/>
  <c r="T265" i="2" l="1"/>
  <c r="D265" i="2"/>
  <c r="C266" i="2" s="1"/>
  <c r="M131" i="2"/>
  <c r="V131" i="2" s="1"/>
  <c r="H215" i="2"/>
  <c r="I215" i="2" s="1"/>
  <c r="J215" i="2" s="1"/>
  <c r="G216" i="2" s="1"/>
  <c r="U216" i="2" s="1"/>
  <c r="W131" i="2" l="1"/>
  <c r="X131" i="2"/>
  <c r="T266" i="2"/>
  <c r="D266" i="2"/>
  <c r="C267" i="2" s="1"/>
  <c r="N131" i="2"/>
  <c r="O131" i="2" s="1"/>
  <c r="H216" i="2"/>
  <c r="I216" i="2" s="1"/>
  <c r="J216" i="2" s="1"/>
  <c r="G217" i="2" s="1"/>
  <c r="U217" i="2" s="1"/>
  <c r="T267" i="2" l="1"/>
  <c r="D267" i="2"/>
  <c r="C268" i="2" s="1"/>
  <c r="P131" i="2"/>
  <c r="Q131" i="2" s="1"/>
  <c r="H217" i="2"/>
  <c r="I217" i="2" s="1"/>
  <c r="J217" i="2" s="1"/>
  <c r="G218" i="2" s="1"/>
  <c r="U218" i="2" s="1"/>
  <c r="T268" i="2" l="1"/>
  <c r="D268" i="2"/>
  <c r="C269" i="2" s="1"/>
  <c r="M132" i="2"/>
  <c r="V132" i="2" s="1"/>
  <c r="H218" i="2"/>
  <c r="I218" i="2" s="1"/>
  <c r="J218" i="2" s="1"/>
  <c r="G219" i="2" s="1"/>
  <c r="U219" i="2" s="1"/>
  <c r="T269" i="2" l="1"/>
  <c r="D269" i="2"/>
  <c r="C270" i="2" s="1"/>
  <c r="W132" i="2"/>
  <c r="X132" i="2"/>
  <c r="N132" i="2"/>
  <c r="O132" i="2" s="1"/>
  <c r="P132" i="2" s="1"/>
  <c r="Q132" i="2" s="1"/>
  <c r="H219" i="2"/>
  <c r="I219" i="2" s="1"/>
  <c r="J219" i="2" s="1"/>
  <c r="T270" i="2" l="1"/>
  <c r="D270" i="2"/>
  <c r="C271" i="2" s="1"/>
  <c r="M133" i="2"/>
  <c r="V133" i="2" s="1"/>
  <c r="G220" i="2"/>
  <c r="U220" i="2" s="1"/>
  <c r="T271" i="2" l="1"/>
  <c r="D271" i="2"/>
  <c r="C272" i="2" s="1"/>
  <c r="W133" i="2"/>
  <c r="X133" i="2"/>
  <c r="N133" i="2"/>
  <c r="O133" i="2" s="1"/>
  <c r="P133" i="2" s="1"/>
  <c r="Q133" i="2" s="1"/>
  <c r="H220" i="2"/>
  <c r="I220" i="2" s="1"/>
  <c r="J220" i="2" s="1"/>
  <c r="G221" i="2" s="1"/>
  <c r="U221" i="2" s="1"/>
  <c r="T272" i="2" l="1"/>
  <c r="D272" i="2"/>
  <c r="C273" i="2" s="1"/>
  <c r="M134" i="2"/>
  <c r="V134" i="2" s="1"/>
  <c r="H221" i="2"/>
  <c r="I221" i="2" s="1"/>
  <c r="J221" i="2" s="1"/>
  <c r="G222" i="2" s="1"/>
  <c r="U222" i="2" s="1"/>
  <c r="T273" i="2" l="1"/>
  <c r="D273" i="2"/>
  <c r="C274" i="2"/>
  <c r="W134" i="2"/>
  <c r="X134" i="2"/>
  <c r="N134" i="2"/>
  <c r="O134" i="2" s="1"/>
  <c r="P134" i="2" s="1"/>
  <c r="Q134" i="2" s="1"/>
  <c r="H222" i="2"/>
  <c r="I222" i="2" s="1"/>
  <c r="J222" i="2" s="1"/>
  <c r="T274" i="2" l="1"/>
  <c r="D274" i="2"/>
  <c r="C275" i="2"/>
  <c r="G223" i="2"/>
  <c r="U223" i="2" s="1"/>
  <c r="M135" i="2"/>
  <c r="V135" i="2" s="1"/>
  <c r="H223" i="2" l="1"/>
  <c r="I223" i="2" s="1"/>
  <c r="J223" i="2" s="1"/>
  <c r="G224" i="2" s="1"/>
  <c r="U224" i="2" s="1"/>
  <c r="W135" i="2"/>
  <c r="X135" i="2"/>
  <c r="T275" i="2"/>
  <c r="D275" i="2"/>
  <c r="C276" i="2" s="1"/>
  <c r="N135" i="2"/>
  <c r="O135" i="2" s="1"/>
  <c r="H224" i="2" l="1"/>
  <c r="I224" i="2" s="1"/>
  <c r="J224" i="2" s="1"/>
  <c r="G225" i="2" s="1"/>
  <c r="U225" i="2" s="1"/>
  <c r="T276" i="2"/>
  <c r="D276" i="2"/>
  <c r="C277" i="2" s="1"/>
  <c r="P135" i="2"/>
  <c r="Q135" i="2" s="1"/>
  <c r="H225" i="2"/>
  <c r="I225" i="2" l="1"/>
  <c r="J225" i="2" s="1"/>
  <c r="G226" i="2" s="1"/>
  <c r="U226" i="2" s="1"/>
  <c r="T277" i="2"/>
  <c r="D277" i="2"/>
  <c r="C278" i="2" s="1"/>
  <c r="M136" i="2"/>
  <c r="V136" i="2" s="1"/>
  <c r="H226" i="2" l="1"/>
  <c r="I226" i="2"/>
  <c r="J226" i="2" s="1"/>
  <c r="G227" i="2" s="1"/>
  <c r="U227" i="2" s="1"/>
  <c r="T278" i="2"/>
  <c r="D278" i="2"/>
  <c r="C279" i="2" s="1"/>
  <c r="W136" i="2"/>
  <c r="X136" i="2"/>
  <c r="N136" i="2"/>
  <c r="H227" i="2" l="1"/>
  <c r="I227" i="2" s="1"/>
  <c r="J227" i="2" s="1"/>
  <c r="T279" i="2"/>
  <c r="D279" i="2"/>
  <c r="C280" i="2" s="1"/>
  <c r="O136" i="2"/>
  <c r="P136" i="2" s="1"/>
  <c r="Q136" i="2" s="1"/>
  <c r="G228" i="2"/>
  <c r="U228" i="2" s="1"/>
  <c r="T280" i="2" l="1"/>
  <c r="D280" i="2"/>
  <c r="C281" i="2" s="1"/>
  <c r="M137" i="2"/>
  <c r="V137" i="2" s="1"/>
  <c r="H228" i="2"/>
  <c r="I228" i="2" s="1"/>
  <c r="J228" i="2" s="1"/>
  <c r="G229" i="2" s="1"/>
  <c r="U229" i="2" s="1"/>
  <c r="T281" i="2" l="1"/>
  <c r="D281" i="2"/>
  <c r="C282" i="2" s="1"/>
  <c r="W137" i="2"/>
  <c r="X137" i="2"/>
  <c r="N137" i="2"/>
  <c r="O137" i="2" s="1"/>
  <c r="H229" i="2"/>
  <c r="T282" i="2" l="1"/>
  <c r="D282" i="2"/>
  <c r="C283" i="2" s="1"/>
  <c r="P137" i="2"/>
  <c r="Q137" i="2" s="1"/>
  <c r="I229" i="2"/>
  <c r="J229" i="2" s="1"/>
  <c r="G230" i="2" s="1"/>
  <c r="U230" i="2" s="1"/>
  <c r="T283" i="2" l="1"/>
  <c r="D283" i="2"/>
  <c r="C284" i="2" s="1"/>
  <c r="M138" i="2"/>
  <c r="V138" i="2" s="1"/>
  <c r="H230" i="2"/>
  <c r="T284" i="2" l="1"/>
  <c r="D284" i="2"/>
  <c r="C285" i="2" s="1"/>
  <c r="W138" i="2"/>
  <c r="X138" i="2"/>
  <c r="N138" i="2"/>
  <c r="I230" i="2"/>
  <c r="J230" i="2" s="1"/>
  <c r="G231" i="2" s="1"/>
  <c r="U231" i="2" s="1"/>
  <c r="T285" i="2" l="1"/>
  <c r="D285" i="2"/>
  <c r="C286" i="2" s="1"/>
  <c r="O138" i="2"/>
  <c r="P138" i="2" s="1"/>
  <c r="Q138" i="2" s="1"/>
  <c r="H231" i="2"/>
  <c r="I231" i="2" s="1"/>
  <c r="J231" i="2" s="1"/>
  <c r="T286" i="2" l="1"/>
  <c r="D286" i="2"/>
  <c r="C287" i="2" s="1"/>
  <c r="M139" i="2"/>
  <c r="V139" i="2" s="1"/>
  <c r="G232" i="2"/>
  <c r="U232" i="2" s="1"/>
  <c r="W139" i="2" l="1"/>
  <c r="X139" i="2"/>
  <c r="T287" i="2"/>
  <c r="D287" i="2"/>
  <c r="C288" i="2" s="1"/>
  <c r="N139" i="2"/>
  <c r="O139" i="2" s="1"/>
  <c r="H232" i="2"/>
  <c r="I232" i="2" s="1"/>
  <c r="J232" i="2" s="1"/>
  <c r="T288" i="2" l="1"/>
  <c r="D288" i="2"/>
  <c r="C289" i="2" s="1"/>
  <c r="G233" i="2"/>
  <c r="P139" i="2"/>
  <c r="Q139" i="2" s="1"/>
  <c r="T289" i="2" l="1"/>
  <c r="D289" i="2"/>
  <c r="C290" i="2" s="1"/>
  <c r="H233" i="2"/>
  <c r="I233" i="2" s="1"/>
  <c r="J233" i="2" s="1"/>
  <c r="G234" i="2" s="1"/>
  <c r="U234" i="2" s="1"/>
  <c r="U233" i="2"/>
  <c r="M140" i="2"/>
  <c r="V140" i="2" s="1"/>
  <c r="T290" i="2" l="1"/>
  <c r="D290" i="2"/>
  <c r="C291" i="2"/>
  <c r="W140" i="2"/>
  <c r="X140" i="2"/>
  <c r="H234" i="2"/>
  <c r="I234" i="2" s="1"/>
  <c r="J234" i="2" s="1"/>
  <c r="G235" i="2" s="1"/>
  <c r="N140" i="2"/>
  <c r="O140" i="2" s="1"/>
  <c r="P140" i="2" s="1"/>
  <c r="Q140" i="2" s="1"/>
  <c r="T291" i="2" l="1"/>
  <c r="D291" i="2"/>
  <c r="C292" i="2" s="1"/>
  <c r="H235" i="2"/>
  <c r="I235" i="2" s="1"/>
  <c r="J235" i="2" s="1"/>
  <c r="U235" i="2"/>
  <c r="M141" i="2"/>
  <c r="V141" i="2" s="1"/>
  <c r="T292" i="2" l="1"/>
  <c r="D292" i="2"/>
  <c r="C293" i="2" s="1"/>
  <c r="W141" i="2"/>
  <c r="X141" i="2"/>
  <c r="G236" i="2"/>
  <c r="U236" i="2" s="1"/>
  <c r="N141" i="2"/>
  <c r="O141" i="2" s="1"/>
  <c r="P141" i="2" s="1"/>
  <c r="Q141" i="2" s="1"/>
  <c r="T293" i="2" l="1"/>
  <c r="D293" i="2"/>
  <c r="C294" i="2" s="1"/>
  <c r="H236" i="2"/>
  <c r="I236" i="2" s="1"/>
  <c r="J236" i="2" s="1"/>
  <c r="G237" i="2" s="1"/>
  <c r="U237" i="2" s="1"/>
  <c r="M142" i="2"/>
  <c r="V142" i="2" s="1"/>
  <c r="W142" i="2" l="1"/>
  <c r="X142" i="2"/>
  <c r="T294" i="2"/>
  <c r="D294" i="2"/>
  <c r="C295" i="2" s="1"/>
  <c r="H237" i="2"/>
  <c r="I237" i="2" s="1"/>
  <c r="J237" i="2" s="1"/>
  <c r="G238" i="2" s="1"/>
  <c r="U238" i="2" s="1"/>
  <c r="N142" i="2"/>
  <c r="T295" i="2" l="1"/>
  <c r="D295" i="2"/>
  <c r="C296" i="2" s="1"/>
  <c r="H238" i="2"/>
  <c r="I238" i="2" s="1"/>
  <c r="J238" i="2" s="1"/>
  <c r="G239" i="2" s="1"/>
  <c r="U239" i="2" s="1"/>
  <c r="O142" i="2"/>
  <c r="P142" i="2" s="1"/>
  <c r="Q142" i="2" s="1"/>
  <c r="T296" i="2" l="1"/>
  <c r="D296" i="2"/>
  <c r="C297" i="2" s="1"/>
  <c r="M143" i="2"/>
  <c r="V143" i="2" s="1"/>
  <c r="H239" i="2"/>
  <c r="T297" i="2" l="1"/>
  <c r="D297" i="2"/>
  <c r="C298" i="2" s="1"/>
  <c r="W143" i="2"/>
  <c r="X143" i="2"/>
  <c r="N143" i="2"/>
  <c r="O143" i="2" s="1"/>
  <c r="I239" i="2"/>
  <c r="J239" i="2" s="1"/>
  <c r="G240" i="2" s="1"/>
  <c r="U240" i="2" s="1"/>
  <c r="T298" i="2" l="1"/>
  <c r="D298" i="2"/>
  <c r="C299" i="2" s="1"/>
  <c r="P143" i="2"/>
  <c r="Q143" i="2" s="1"/>
  <c r="H240" i="2"/>
  <c r="I240" i="2" s="1"/>
  <c r="J240" i="2" s="1"/>
  <c r="G241" i="2" s="1"/>
  <c r="U241" i="2" s="1"/>
  <c r="T299" i="2" l="1"/>
  <c r="D299" i="2"/>
  <c r="C300" i="2"/>
  <c r="M144" i="2"/>
  <c r="V144" i="2" s="1"/>
  <c r="H241" i="2"/>
  <c r="I241" i="2" s="1"/>
  <c r="J241" i="2" s="1"/>
  <c r="G242" i="2" s="1"/>
  <c r="U242" i="2" s="1"/>
  <c r="T300" i="2" l="1"/>
  <c r="D300" i="2"/>
  <c r="C301" i="2" s="1"/>
  <c r="W144" i="2"/>
  <c r="X144" i="2"/>
  <c r="N144" i="2"/>
  <c r="H242" i="2"/>
  <c r="I242" i="2" s="1"/>
  <c r="J242" i="2" s="1"/>
  <c r="T301" i="2" l="1"/>
  <c r="D301" i="2"/>
  <c r="C302" i="2" s="1"/>
  <c r="G243" i="2"/>
  <c r="O144" i="2"/>
  <c r="P144" i="2" s="1"/>
  <c r="Q144" i="2" s="1"/>
  <c r="T302" i="2" l="1"/>
  <c r="D302" i="2"/>
  <c r="C303" i="2" s="1"/>
  <c r="H243" i="2"/>
  <c r="I243" i="2" s="1"/>
  <c r="J243" i="2" s="1"/>
  <c r="U243" i="2"/>
  <c r="M145" i="2"/>
  <c r="V145" i="2" s="1"/>
  <c r="G244" i="2" l="1"/>
  <c r="U244" i="2" s="1"/>
  <c r="T303" i="2"/>
  <c r="D303" i="2"/>
  <c r="C304" i="2" s="1"/>
  <c r="W145" i="2"/>
  <c r="X145" i="2"/>
  <c r="N145" i="2"/>
  <c r="O145" i="2" s="1"/>
  <c r="P145" i="2" s="1"/>
  <c r="Q145" i="2" s="1"/>
  <c r="H244" i="2"/>
  <c r="I244" i="2" s="1"/>
  <c r="J244" i="2" s="1"/>
  <c r="G245" i="2" s="1"/>
  <c r="U245" i="2" s="1"/>
  <c r="T304" i="2" l="1"/>
  <c r="D304" i="2"/>
  <c r="C305" i="2" s="1"/>
  <c r="M146" i="2"/>
  <c r="V146" i="2" s="1"/>
  <c r="H245" i="2"/>
  <c r="I245" i="2" s="1"/>
  <c r="J245" i="2" s="1"/>
  <c r="G246" i="2" s="1"/>
  <c r="U246" i="2" s="1"/>
  <c r="W146" i="2" l="1"/>
  <c r="X146" i="2"/>
  <c r="T305" i="2"/>
  <c r="D305" i="2"/>
  <c r="C306" i="2" s="1"/>
  <c r="N146" i="2"/>
  <c r="H246" i="2"/>
  <c r="I246" i="2" s="1"/>
  <c r="J246" i="2" s="1"/>
  <c r="G247" i="2" s="1"/>
  <c r="U247" i="2" s="1"/>
  <c r="T306" i="2" l="1"/>
  <c r="D306" i="2"/>
  <c r="C307" i="2" s="1"/>
  <c r="O146" i="2"/>
  <c r="P146" i="2" s="1"/>
  <c r="Q146" i="2" s="1"/>
  <c r="H247" i="2"/>
  <c r="I247" i="2" s="1"/>
  <c r="J247" i="2" s="1"/>
  <c r="G248" i="2" s="1"/>
  <c r="U248" i="2" s="1"/>
  <c r="T307" i="2" l="1"/>
  <c r="D307" i="2"/>
  <c r="C308" i="2" s="1"/>
  <c r="M147" i="2"/>
  <c r="V147" i="2" s="1"/>
  <c r="H248" i="2"/>
  <c r="I248" i="2" s="1"/>
  <c r="J248" i="2" s="1"/>
  <c r="G249" i="2" s="1"/>
  <c r="U249" i="2" s="1"/>
  <c r="T308" i="2" l="1"/>
  <c r="D308" i="2"/>
  <c r="C309" i="2" s="1"/>
  <c r="W147" i="2"/>
  <c r="X147" i="2"/>
  <c r="N147" i="2"/>
  <c r="O147" i="2" s="1"/>
  <c r="P147" i="2" s="1"/>
  <c r="Q147" i="2" s="1"/>
  <c r="H249" i="2"/>
  <c r="T309" i="2" l="1"/>
  <c r="D309" i="2"/>
  <c r="C310" i="2" s="1"/>
  <c r="M148" i="2"/>
  <c r="V148" i="2" s="1"/>
  <c r="I249" i="2"/>
  <c r="J249" i="2" s="1"/>
  <c r="G250" i="2" s="1"/>
  <c r="U250" i="2" s="1"/>
  <c r="T310" i="2" l="1"/>
  <c r="D310" i="2"/>
  <c r="C311" i="2" s="1"/>
  <c r="W148" i="2"/>
  <c r="X148" i="2"/>
  <c r="N148" i="2"/>
  <c r="H250" i="2"/>
  <c r="I250" i="2" s="1"/>
  <c r="J250" i="2" s="1"/>
  <c r="T311" i="2" l="1"/>
  <c r="D311" i="2"/>
  <c r="C312" i="2" s="1"/>
  <c r="O148" i="2"/>
  <c r="P148" i="2" s="1"/>
  <c r="Q148" i="2" s="1"/>
  <c r="G251" i="2"/>
  <c r="U251" i="2" s="1"/>
  <c r="T312" i="2" l="1"/>
  <c r="D312" i="2"/>
  <c r="C313" i="2" s="1"/>
  <c r="M149" i="2"/>
  <c r="V149" i="2" s="1"/>
  <c r="H251" i="2"/>
  <c r="I251" i="2" s="1"/>
  <c r="J251" i="2" s="1"/>
  <c r="G252" i="2" s="1"/>
  <c r="U252" i="2" s="1"/>
  <c r="T313" i="2" l="1"/>
  <c r="D313" i="2"/>
  <c r="C314" i="2" s="1"/>
  <c r="W149" i="2"/>
  <c r="X149" i="2"/>
  <c r="N149" i="2"/>
  <c r="O149" i="2" s="1"/>
  <c r="P149" i="2" s="1"/>
  <c r="Q149" i="2" s="1"/>
  <c r="H252" i="2"/>
  <c r="I252" i="2" s="1"/>
  <c r="J252" i="2" s="1"/>
  <c r="G253" i="2" s="1"/>
  <c r="U253" i="2" s="1"/>
  <c r="T314" i="2" l="1"/>
  <c r="D314" i="2"/>
  <c r="C315" i="2" s="1"/>
  <c r="M150" i="2"/>
  <c r="V150" i="2" s="1"/>
  <c r="H253" i="2"/>
  <c r="I253" i="2" s="1"/>
  <c r="J253" i="2" s="1"/>
  <c r="T315" i="2" l="1"/>
  <c r="D315" i="2"/>
  <c r="C316" i="2" s="1"/>
  <c r="W150" i="2"/>
  <c r="X150" i="2"/>
  <c r="N150" i="2"/>
  <c r="O150" i="2" s="1"/>
  <c r="P150" i="2" s="1"/>
  <c r="Q150" i="2" s="1"/>
  <c r="G254" i="2"/>
  <c r="U254" i="2" s="1"/>
  <c r="T316" i="2" l="1"/>
  <c r="D316" i="2"/>
  <c r="C317" i="2" s="1"/>
  <c r="M151" i="2"/>
  <c r="V151" i="2" s="1"/>
  <c r="H254" i="2"/>
  <c r="I254" i="2" s="1"/>
  <c r="J254" i="2" s="1"/>
  <c r="T317" i="2" l="1"/>
  <c r="D317" i="2"/>
  <c r="C318" i="2" s="1"/>
  <c r="W151" i="2"/>
  <c r="X151" i="2"/>
  <c r="N151" i="2"/>
  <c r="O151" i="2" s="1"/>
  <c r="P151" i="2" s="1"/>
  <c r="Q151" i="2" s="1"/>
  <c r="G255" i="2"/>
  <c r="U255" i="2" s="1"/>
  <c r="T318" i="2" l="1"/>
  <c r="D318" i="2"/>
  <c r="C319" i="2" s="1"/>
  <c r="M152" i="2"/>
  <c r="V152" i="2" s="1"/>
  <c r="H255" i="2"/>
  <c r="I255" i="2" s="1"/>
  <c r="J255" i="2" s="1"/>
  <c r="G256" i="2" s="1"/>
  <c r="U256" i="2" s="1"/>
  <c r="T319" i="2" l="1"/>
  <c r="D319" i="2"/>
  <c r="C320" i="2" s="1"/>
  <c r="W152" i="2"/>
  <c r="X152" i="2"/>
  <c r="N152" i="2"/>
  <c r="H256" i="2"/>
  <c r="I256" i="2" s="1"/>
  <c r="J256" i="2" s="1"/>
  <c r="G257" i="2" s="1"/>
  <c r="U257" i="2" s="1"/>
  <c r="T320" i="2" l="1"/>
  <c r="D320" i="2"/>
  <c r="C321" i="2" s="1"/>
  <c r="O152" i="2"/>
  <c r="P152" i="2" s="1"/>
  <c r="Q152" i="2" s="1"/>
  <c r="H257" i="2"/>
  <c r="I257" i="2" s="1"/>
  <c r="J257" i="2" s="1"/>
  <c r="T321" i="2" l="1"/>
  <c r="D321" i="2"/>
  <c r="C322" i="2"/>
  <c r="G258" i="2"/>
  <c r="U258" i="2" s="1"/>
  <c r="M153" i="2"/>
  <c r="V153" i="2" s="1"/>
  <c r="H258" i="2" l="1"/>
  <c r="T322" i="2"/>
  <c r="D322" i="2"/>
  <c r="C323" i="2"/>
  <c r="W153" i="2"/>
  <c r="X153" i="2"/>
  <c r="I258" i="2"/>
  <c r="J258" i="2" s="1"/>
  <c r="G259" i="2" s="1"/>
  <c r="N153" i="2"/>
  <c r="O153" i="2" s="1"/>
  <c r="P153" i="2" s="1"/>
  <c r="Q153" i="2" s="1"/>
  <c r="T323" i="2" l="1"/>
  <c r="D323" i="2"/>
  <c r="C324" i="2" s="1"/>
  <c r="U259" i="2"/>
  <c r="H259" i="2"/>
  <c r="I259" i="2" s="1"/>
  <c r="J259" i="2" s="1"/>
  <c r="M154" i="2"/>
  <c r="V154" i="2" s="1"/>
  <c r="T324" i="2" l="1"/>
  <c r="D324" i="2"/>
  <c r="C325" i="2" s="1"/>
  <c r="W154" i="2"/>
  <c r="X154" i="2"/>
  <c r="G260" i="2"/>
  <c r="U260" i="2" s="1"/>
  <c r="N154" i="2"/>
  <c r="O154" i="2" s="1"/>
  <c r="P154" i="2" s="1"/>
  <c r="Q154" i="2" s="1"/>
  <c r="T325" i="2" l="1"/>
  <c r="D325" i="2"/>
  <c r="C326" i="2" s="1"/>
  <c r="H260" i="2"/>
  <c r="I260" i="2" s="1"/>
  <c r="J260" i="2" s="1"/>
  <c r="G261" i="2" s="1"/>
  <c r="M155" i="2"/>
  <c r="V155" i="2" s="1"/>
  <c r="T326" i="2" l="1"/>
  <c r="D326" i="2"/>
  <c r="C327" i="2" s="1"/>
  <c r="W155" i="2"/>
  <c r="X155" i="2"/>
  <c r="U261" i="2"/>
  <c r="H261" i="2"/>
  <c r="I261" i="2" s="1"/>
  <c r="J261" i="2" s="1"/>
  <c r="G262" i="2" s="1"/>
  <c r="U262" i="2" s="1"/>
  <c r="N155" i="2"/>
  <c r="O155" i="2"/>
  <c r="P155" i="2" s="1"/>
  <c r="T327" i="2" l="1"/>
  <c r="D327" i="2"/>
  <c r="C328" i="2" s="1"/>
  <c r="Q155" i="2"/>
  <c r="M156" i="2" s="1"/>
  <c r="V156" i="2" s="1"/>
  <c r="H262" i="2"/>
  <c r="I262" i="2" s="1"/>
  <c r="J262" i="2" s="1"/>
  <c r="T328" i="2" l="1"/>
  <c r="D328" i="2"/>
  <c r="C329" i="2" s="1"/>
  <c r="W156" i="2"/>
  <c r="X156" i="2"/>
  <c r="N156" i="2"/>
  <c r="G263" i="2"/>
  <c r="U263" i="2" s="1"/>
  <c r="T329" i="2" l="1"/>
  <c r="D329" i="2"/>
  <c r="C330" i="2" s="1"/>
  <c r="O156" i="2"/>
  <c r="P156" i="2" s="1"/>
  <c r="Q156" i="2" s="1"/>
  <c r="H263" i="2"/>
  <c r="I263" i="2" s="1"/>
  <c r="J263" i="2" s="1"/>
  <c r="T330" i="2" l="1"/>
  <c r="D330" i="2"/>
  <c r="C331" i="2" s="1"/>
  <c r="G264" i="2"/>
  <c r="U264" i="2" s="1"/>
  <c r="M157" i="2"/>
  <c r="V157" i="2" s="1"/>
  <c r="T331" i="2" l="1"/>
  <c r="D331" i="2"/>
  <c r="C332" i="2" s="1"/>
  <c r="W157" i="2"/>
  <c r="X157" i="2"/>
  <c r="H264" i="2"/>
  <c r="I264" i="2" s="1"/>
  <c r="J264" i="2" s="1"/>
  <c r="N157" i="2"/>
  <c r="O157" i="2" s="1"/>
  <c r="P157" i="2" s="1"/>
  <c r="T332" i="2" l="1"/>
  <c r="D332" i="2"/>
  <c r="C333" i="2" s="1"/>
  <c r="G265" i="2"/>
  <c r="U265" i="2" s="1"/>
  <c r="Q157" i="2"/>
  <c r="M158" i="2" s="1"/>
  <c r="V158" i="2" s="1"/>
  <c r="T333" i="2" l="1"/>
  <c r="D333" i="2"/>
  <c r="C334" i="2" s="1"/>
  <c r="H265" i="2"/>
  <c r="I265" i="2" s="1"/>
  <c r="J265" i="2" s="1"/>
  <c r="W158" i="2"/>
  <c r="X158" i="2"/>
  <c r="N158" i="2"/>
  <c r="O158" i="2" s="1"/>
  <c r="P158" i="2" s="1"/>
  <c r="Q158" i="2" s="1"/>
  <c r="G266" i="2" l="1"/>
  <c r="T334" i="2"/>
  <c r="D334" i="2"/>
  <c r="C335" i="2" s="1"/>
  <c r="H266" i="2"/>
  <c r="I266" i="2" s="1"/>
  <c r="J266" i="2" s="1"/>
  <c r="U266" i="2"/>
  <c r="M159" i="2"/>
  <c r="V159" i="2" s="1"/>
  <c r="T335" i="2" l="1"/>
  <c r="D335" i="2"/>
  <c r="C336" i="2" s="1"/>
  <c r="G267" i="2"/>
  <c r="U267" i="2" s="1"/>
  <c r="W159" i="2"/>
  <c r="X159" i="2"/>
  <c r="N159" i="2"/>
  <c r="O159" i="2" s="1"/>
  <c r="P159" i="2" s="1"/>
  <c r="Q159" i="2" s="1"/>
  <c r="H267" i="2"/>
  <c r="I267" i="2" s="1"/>
  <c r="J267" i="2" s="1"/>
  <c r="T336" i="2" l="1"/>
  <c r="D336" i="2"/>
  <c r="C337" i="2" s="1"/>
  <c r="M160" i="2"/>
  <c r="V160" i="2" s="1"/>
  <c r="G268" i="2"/>
  <c r="U268" i="2" s="1"/>
  <c r="W160" i="2" l="1"/>
  <c r="X160" i="2"/>
  <c r="T337" i="2"/>
  <c r="D337" i="2"/>
  <c r="C338" i="2" s="1"/>
  <c r="N160" i="2"/>
  <c r="H268" i="2"/>
  <c r="T338" i="2" l="1"/>
  <c r="D338" i="2"/>
  <c r="C339" i="2" s="1"/>
  <c r="O160" i="2"/>
  <c r="P160" i="2" s="1"/>
  <c r="Q160" i="2" s="1"/>
  <c r="I268" i="2"/>
  <c r="J268" i="2" s="1"/>
  <c r="G269" i="2" s="1"/>
  <c r="U269" i="2" s="1"/>
  <c r="T339" i="2" l="1"/>
  <c r="D339" i="2"/>
  <c r="C340" i="2" s="1"/>
  <c r="M161" i="2"/>
  <c r="V161" i="2" s="1"/>
  <c r="H269" i="2"/>
  <c r="T340" i="2" l="1"/>
  <c r="D340" i="2"/>
  <c r="C341" i="2" s="1"/>
  <c r="W161" i="2"/>
  <c r="X161" i="2"/>
  <c r="N161" i="2"/>
  <c r="O161" i="2" s="1"/>
  <c r="P161" i="2" s="1"/>
  <c r="Q161" i="2" s="1"/>
  <c r="I269" i="2"/>
  <c r="J269" i="2" s="1"/>
  <c r="G270" i="2" s="1"/>
  <c r="U270" i="2" s="1"/>
  <c r="T341" i="2" l="1"/>
  <c r="D341" i="2"/>
  <c r="C342" i="2" s="1"/>
  <c r="M162" i="2"/>
  <c r="V162" i="2" s="1"/>
  <c r="H270" i="2"/>
  <c r="T342" i="2" l="1"/>
  <c r="D342" i="2"/>
  <c r="C343" i="2" s="1"/>
  <c r="W162" i="2"/>
  <c r="X162" i="2"/>
  <c r="N162" i="2"/>
  <c r="O162" i="2" s="1"/>
  <c r="P162" i="2" s="1"/>
  <c r="Q162" i="2" s="1"/>
  <c r="I270" i="2"/>
  <c r="J270" i="2" s="1"/>
  <c r="G271" i="2" s="1"/>
  <c r="U271" i="2" s="1"/>
  <c r="T343" i="2" l="1"/>
  <c r="D343" i="2"/>
  <c r="C344" i="2" s="1"/>
  <c r="M163" i="2"/>
  <c r="V163" i="2" s="1"/>
  <c r="H271" i="2"/>
  <c r="I271" i="2" s="1"/>
  <c r="J271" i="2" s="1"/>
  <c r="T344" i="2" l="1"/>
  <c r="D344" i="2"/>
  <c r="C345" i="2" s="1"/>
  <c r="W163" i="2"/>
  <c r="X163" i="2"/>
  <c r="N163" i="2"/>
  <c r="O163" i="2" s="1"/>
  <c r="G272" i="2"/>
  <c r="U272" i="2" s="1"/>
  <c r="T345" i="2" l="1"/>
  <c r="D345" i="2"/>
  <c r="C346" i="2" s="1"/>
  <c r="P163" i="2"/>
  <c r="Q163" i="2" s="1"/>
  <c r="H272" i="2"/>
  <c r="T346" i="2" l="1"/>
  <c r="D346" i="2"/>
  <c r="C347" i="2" s="1"/>
  <c r="M164" i="2"/>
  <c r="V164" i="2" s="1"/>
  <c r="I272" i="2"/>
  <c r="J272" i="2" s="1"/>
  <c r="G273" i="2" s="1"/>
  <c r="U273" i="2" s="1"/>
  <c r="T347" i="2" l="1"/>
  <c r="D347" i="2"/>
  <c r="C348" i="2" s="1"/>
  <c r="W164" i="2"/>
  <c r="X164" i="2"/>
  <c r="N164" i="2"/>
  <c r="H273" i="2"/>
  <c r="I273" i="2" s="1"/>
  <c r="J273" i="2" s="1"/>
  <c r="G274" i="2" s="1"/>
  <c r="U274" i="2" s="1"/>
  <c r="T348" i="2" l="1"/>
  <c r="D348" i="2"/>
  <c r="C349" i="2" s="1"/>
  <c r="O164" i="2"/>
  <c r="P164" i="2" s="1"/>
  <c r="Q164" i="2" s="1"/>
  <c r="H274" i="2"/>
  <c r="I274" i="2" s="1"/>
  <c r="J274" i="2" s="1"/>
  <c r="T349" i="2" l="1"/>
  <c r="D349" i="2"/>
  <c r="C350" i="2" s="1"/>
  <c r="M165" i="2"/>
  <c r="V165" i="2" s="1"/>
  <c r="G275" i="2"/>
  <c r="U275" i="2" s="1"/>
  <c r="W165" i="2" l="1"/>
  <c r="X165" i="2"/>
  <c r="T350" i="2"/>
  <c r="D350" i="2"/>
  <c r="C351" i="2" s="1"/>
  <c r="N165" i="2"/>
  <c r="O165" i="2" s="1"/>
  <c r="P165" i="2" s="1"/>
  <c r="Q165" i="2" s="1"/>
  <c r="H275" i="2"/>
  <c r="I275" i="2" s="1"/>
  <c r="J275" i="2" s="1"/>
  <c r="G276" i="2" s="1"/>
  <c r="U276" i="2" s="1"/>
  <c r="T351" i="2" l="1"/>
  <c r="D351" i="2"/>
  <c r="C352" i="2" s="1"/>
  <c r="M166" i="2"/>
  <c r="V166" i="2" s="1"/>
  <c r="H276" i="2"/>
  <c r="T352" i="2" l="1"/>
  <c r="D352" i="2"/>
  <c r="C353" i="2" s="1"/>
  <c r="W166" i="2"/>
  <c r="X166" i="2"/>
  <c r="N166" i="2"/>
  <c r="O166" i="2" s="1"/>
  <c r="P166" i="2" s="1"/>
  <c r="Q166" i="2" s="1"/>
  <c r="I276" i="2"/>
  <c r="J276" i="2" s="1"/>
  <c r="G277" i="2" s="1"/>
  <c r="U277" i="2" s="1"/>
  <c r="T353" i="2" l="1"/>
  <c r="D353" i="2"/>
  <c r="C354" i="2" s="1"/>
  <c r="M167" i="2"/>
  <c r="V167" i="2" s="1"/>
  <c r="H277" i="2"/>
  <c r="I277" i="2" s="1"/>
  <c r="J277" i="2" s="1"/>
  <c r="T354" i="2" l="1"/>
  <c r="D354" i="2"/>
  <c r="C355" i="2" s="1"/>
  <c r="W167" i="2"/>
  <c r="X167" i="2"/>
  <c r="N167" i="2"/>
  <c r="O167" i="2" s="1"/>
  <c r="G278" i="2"/>
  <c r="U278" i="2" s="1"/>
  <c r="T355" i="2" l="1"/>
  <c r="D355" i="2"/>
  <c r="C356" i="2" s="1"/>
  <c r="P167" i="2"/>
  <c r="Q167" i="2" s="1"/>
  <c r="H278" i="2"/>
  <c r="I278" i="2" s="1"/>
  <c r="J278" i="2" s="1"/>
  <c r="T356" i="2" l="1"/>
  <c r="D356" i="2"/>
  <c r="C357" i="2" s="1"/>
  <c r="G279" i="2"/>
  <c r="M168" i="2"/>
  <c r="V168" i="2" s="1"/>
  <c r="T357" i="2" l="1"/>
  <c r="D357" i="2"/>
  <c r="C358" i="2" s="1"/>
  <c r="W168" i="2"/>
  <c r="X168" i="2"/>
  <c r="H279" i="2"/>
  <c r="I279" i="2" s="1"/>
  <c r="J279" i="2" s="1"/>
  <c r="U279" i="2"/>
  <c r="N168" i="2"/>
  <c r="T358" i="2" l="1"/>
  <c r="D358" i="2"/>
  <c r="C359" i="2" s="1"/>
  <c r="G280" i="2"/>
  <c r="U280" i="2" s="1"/>
  <c r="O168" i="2"/>
  <c r="P168" i="2" s="1"/>
  <c r="Q168" i="2" s="1"/>
  <c r="H280" i="2" l="1"/>
  <c r="I280" i="2" s="1"/>
  <c r="J280" i="2" s="1"/>
  <c r="G281" i="2" s="1"/>
  <c r="U281" i="2" s="1"/>
  <c r="T359" i="2"/>
  <c r="D359" i="2"/>
  <c r="C360" i="2" s="1"/>
  <c r="M169" i="2"/>
  <c r="V169" i="2" s="1"/>
  <c r="H281" i="2" l="1"/>
  <c r="I281" i="2" s="1"/>
  <c r="J281" i="2" s="1"/>
  <c r="G282" i="2" s="1"/>
  <c r="U282" i="2" s="1"/>
  <c r="T360" i="2"/>
  <c r="D360" i="2"/>
  <c r="C361" i="2" s="1"/>
  <c r="W169" i="2"/>
  <c r="X169" i="2"/>
  <c r="N169" i="2"/>
  <c r="O169" i="2" s="1"/>
  <c r="P169" i="2" s="1"/>
  <c r="Q169" i="2" s="1"/>
  <c r="H282" i="2"/>
  <c r="I282" i="2" s="1"/>
  <c r="J282" i="2" s="1"/>
  <c r="T361" i="2" l="1"/>
  <c r="D361" i="2"/>
  <c r="C362" i="2" s="1"/>
  <c r="G283" i="2"/>
  <c r="M170" i="2"/>
  <c r="V170" i="2" s="1"/>
  <c r="W170" i="2" l="1"/>
  <c r="X170" i="2"/>
  <c r="T362" i="2"/>
  <c r="D362" i="2"/>
  <c r="C363" i="2" s="1"/>
  <c r="H283" i="2"/>
  <c r="I283" i="2" s="1"/>
  <c r="J283" i="2" s="1"/>
  <c r="G284" i="2" s="1"/>
  <c r="U284" i="2" s="1"/>
  <c r="U283" i="2"/>
  <c r="N170" i="2"/>
  <c r="O170" i="2" s="1"/>
  <c r="P170" i="2" s="1"/>
  <c r="Q170" i="2" s="1"/>
  <c r="T363" i="2" l="1"/>
  <c r="D363" i="2"/>
  <c r="C364" i="2" s="1"/>
  <c r="H284" i="2"/>
  <c r="I284" i="2" s="1"/>
  <c r="J284" i="2" s="1"/>
  <c r="G285" i="2" s="1"/>
  <c r="U285" i="2" s="1"/>
  <c r="M171" i="2"/>
  <c r="V171" i="2" s="1"/>
  <c r="W171" i="2" l="1"/>
  <c r="X171" i="2"/>
  <c r="T364" i="2"/>
  <c r="D364" i="2"/>
  <c r="C365" i="2" s="1"/>
  <c r="H285" i="2"/>
  <c r="I285" i="2" s="1"/>
  <c r="J285" i="2" s="1"/>
  <c r="G286" i="2" s="1"/>
  <c r="U286" i="2" s="1"/>
  <c r="N171" i="2"/>
  <c r="O171" i="2" s="1"/>
  <c r="T365" i="2" l="1"/>
  <c r="D365" i="2"/>
  <c r="C366" i="2" s="1"/>
  <c r="H286" i="2"/>
  <c r="I286" i="2" s="1"/>
  <c r="J286" i="2" s="1"/>
  <c r="P171" i="2"/>
  <c r="Q171" i="2" s="1"/>
  <c r="T366" i="2" l="1"/>
  <c r="D366" i="2"/>
  <c r="C367" i="2" s="1"/>
  <c r="G287" i="2"/>
  <c r="U287" i="2" s="1"/>
  <c r="M172" i="2"/>
  <c r="V172" i="2" s="1"/>
  <c r="N172" i="2" l="1"/>
  <c r="T367" i="2"/>
  <c r="D367" i="2"/>
  <c r="C368" i="2" s="1"/>
  <c r="W172" i="2"/>
  <c r="X172" i="2"/>
  <c r="H287" i="2"/>
  <c r="I287" i="2" s="1"/>
  <c r="J287" i="2" s="1"/>
  <c r="G288" i="2" s="1"/>
  <c r="U288" i="2" s="1"/>
  <c r="O172" i="2"/>
  <c r="P172" i="2" s="1"/>
  <c r="Q172" i="2" s="1"/>
  <c r="T368" i="2" l="1"/>
  <c r="D368" i="2"/>
  <c r="C369" i="2" s="1"/>
  <c r="H288" i="2"/>
  <c r="I288" i="2" s="1"/>
  <c r="J288" i="2" s="1"/>
  <c r="G289" i="2" s="1"/>
  <c r="U289" i="2" s="1"/>
  <c r="M173" i="2"/>
  <c r="V173" i="2" s="1"/>
  <c r="T369" i="2" l="1"/>
  <c r="D369" i="2"/>
  <c r="C370" i="2" s="1"/>
  <c r="W173" i="2"/>
  <c r="X173" i="2"/>
  <c r="H289" i="2"/>
  <c r="I289" i="2" s="1"/>
  <c r="J289" i="2" s="1"/>
  <c r="G290" i="2" s="1"/>
  <c r="U290" i="2" s="1"/>
  <c r="N173" i="2"/>
  <c r="O173" i="2" s="1"/>
  <c r="P173" i="2" s="1"/>
  <c r="Q173" i="2" s="1"/>
  <c r="T370" i="2" l="1"/>
  <c r="D370" i="2"/>
  <c r="C371" i="2" s="1"/>
  <c r="H290" i="2"/>
  <c r="I290" i="2" s="1"/>
  <c r="J290" i="2" s="1"/>
  <c r="M174" i="2"/>
  <c r="V174" i="2" s="1"/>
  <c r="W174" i="2" l="1"/>
  <c r="X174" i="2"/>
  <c r="G291" i="2"/>
  <c r="U291" i="2" s="1"/>
  <c r="T371" i="2"/>
  <c r="D371" i="2"/>
  <c r="C372" i="2" s="1"/>
  <c r="N174" i="2"/>
  <c r="O174" i="2" s="1"/>
  <c r="P174" i="2" s="1"/>
  <c r="Q174" i="2" s="1"/>
  <c r="H291" i="2"/>
  <c r="I291" i="2" s="1"/>
  <c r="J291" i="2" s="1"/>
  <c r="G292" i="2" s="1"/>
  <c r="U292" i="2" s="1"/>
  <c r="T372" i="2" l="1"/>
  <c r="D372" i="2"/>
  <c r="C373" i="2" s="1"/>
  <c r="M175" i="2"/>
  <c r="V175" i="2" s="1"/>
  <c r="H292" i="2"/>
  <c r="I292" i="2" s="1"/>
  <c r="J292" i="2" s="1"/>
  <c r="G293" i="2" s="1"/>
  <c r="U293" i="2" s="1"/>
  <c r="W175" i="2" l="1"/>
  <c r="X175" i="2"/>
  <c r="T373" i="2"/>
  <c r="D373" i="2"/>
  <c r="C374" i="2" s="1"/>
  <c r="N175" i="2"/>
  <c r="O175" i="2" s="1"/>
  <c r="P175" i="2" s="1"/>
  <c r="Q175" i="2" s="1"/>
  <c r="H293" i="2"/>
  <c r="I293" i="2" s="1"/>
  <c r="J293" i="2" s="1"/>
  <c r="G294" i="2" s="1"/>
  <c r="U294" i="2" s="1"/>
  <c r="T374" i="2" l="1"/>
  <c r="D374" i="2"/>
  <c r="C375" i="2" s="1"/>
  <c r="M176" i="2"/>
  <c r="V176" i="2" s="1"/>
  <c r="H294" i="2"/>
  <c r="I294" i="2" s="1"/>
  <c r="J294" i="2" s="1"/>
  <c r="W176" i="2" l="1"/>
  <c r="X176" i="2"/>
  <c r="T375" i="2"/>
  <c r="D375" i="2"/>
  <c r="C376" i="2" s="1"/>
  <c r="G295" i="2"/>
  <c r="U295" i="2" s="1"/>
  <c r="N176" i="2"/>
  <c r="H295" i="2"/>
  <c r="I295" i="2" s="1"/>
  <c r="J295" i="2" s="1"/>
  <c r="G296" i="2" s="1"/>
  <c r="U296" i="2" s="1"/>
  <c r="T376" i="2" l="1"/>
  <c r="D376" i="2"/>
  <c r="C377" i="2" s="1"/>
  <c r="O176" i="2"/>
  <c r="P176" i="2" s="1"/>
  <c r="Q176" i="2" s="1"/>
  <c r="H296" i="2"/>
  <c r="I296" i="2" s="1"/>
  <c r="J296" i="2" s="1"/>
  <c r="G297" i="2" s="1"/>
  <c r="U297" i="2" s="1"/>
  <c r="T377" i="2" l="1"/>
  <c r="D377" i="2"/>
  <c r="C378" i="2" s="1"/>
  <c r="M177" i="2"/>
  <c r="V177" i="2" s="1"/>
  <c r="H297" i="2"/>
  <c r="I297" i="2" s="1"/>
  <c r="J297" i="2" s="1"/>
  <c r="G298" i="2" s="1"/>
  <c r="U298" i="2" s="1"/>
  <c r="T378" i="2" l="1"/>
  <c r="D378" i="2"/>
  <c r="C379" i="2" s="1"/>
  <c r="W177" i="2"/>
  <c r="X177" i="2"/>
  <c r="N177" i="2"/>
  <c r="O177" i="2"/>
  <c r="P177" i="2" s="1"/>
  <c r="Q177" i="2" s="1"/>
  <c r="H298" i="2"/>
  <c r="I298" i="2" s="1"/>
  <c r="J298" i="2" s="1"/>
  <c r="G299" i="2" s="1"/>
  <c r="U299" i="2" s="1"/>
  <c r="T379" i="2" l="1"/>
  <c r="D379" i="2"/>
  <c r="C380" i="2" s="1"/>
  <c r="M178" i="2"/>
  <c r="V178" i="2" s="1"/>
  <c r="H299" i="2"/>
  <c r="I299" i="2" s="1"/>
  <c r="J299" i="2" s="1"/>
  <c r="G300" i="2" s="1"/>
  <c r="U300" i="2" s="1"/>
  <c r="T380" i="2" l="1"/>
  <c r="D380" i="2"/>
  <c r="C381" i="2" s="1"/>
  <c r="W178" i="2"/>
  <c r="X178" i="2"/>
  <c r="N178" i="2"/>
  <c r="O178" i="2" s="1"/>
  <c r="P178" i="2" s="1"/>
  <c r="Q178" i="2" s="1"/>
  <c r="H300" i="2"/>
  <c r="I300" i="2" s="1"/>
  <c r="J300" i="2" s="1"/>
  <c r="G301" i="2" s="1"/>
  <c r="U301" i="2" s="1"/>
  <c r="T381" i="2" l="1"/>
  <c r="D381" i="2"/>
  <c r="C382" i="2" s="1"/>
  <c r="M179" i="2"/>
  <c r="V179" i="2" s="1"/>
  <c r="H301" i="2"/>
  <c r="I301" i="2" s="1"/>
  <c r="J301" i="2" s="1"/>
  <c r="G302" i="2" s="1"/>
  <c r="U302" i="2" s="1"/>
  <c r="T382" i="2" l="1"/>
  <c r="D382" i="2"/>
  <c r="C383" i="2" s="1"/>
  <c r="W179" i="2"/>
  <c r="X179" i="2"/>
  <c r="N179" i="2"/>
  <c r="O179" i="2" s="1"/>
  <c r="H302" i="2"/>
  <c r="I302" i="2" s="1"/>
  <c r="J302" i="2" s="1"/>
  <c r="T383" i="2" l="1"/>
  <c r="D383" i="2"/>
  <c r="C384" i="2" s="1"/>
  <c r="P179" i="2"/>
  <c r="Q179" i="2" s="1"/>
  <c r="G303" i="2"/>
  <c r="U303" i="2" s="1"/>
  <c r="T384" i="2" l="1"/>
  <c r="D384" i="2"/>
  <c r="C385" i="2" s="1"/>
  <c r="M180" i="2"/>
  <c r="V180" i="2" s="1"/>
  <c r="H303" i="2"/>
  <c r="I303" i="2" s="1"/>
  <c r="J303" i="2" s="1"/>
  <c r="T385" i="2" l="1"/>
  <c r="D385" i="2"/>
  <c r="C386" i="2" s="1"/>
  <c r="W180" i="2"/>
  <c r="X180" i="2"/>
  <c r="N180" i="2"/>
  <c r="G304" i="2"/>
  <c r="U304" i="2" s="1"/>
  <c r="T386" i="2" l="1"/>
  <c r="D386" i="2"/>
  <c r="C387" i="2" s="1"/>
  <c r="O180" i="2"/>
  <c r="P180" i="2" s="1"/>
  <c r="Q180" i="2" s="1"/>
  <c r="H304" i="2"/>
  <c r="T387" i="2" l="1"/>
  <c r="D387" i="2"/>
  <c r="C388" i="2" s="1"/>
  <c r="M181" i="2"/>
  <c r="V181" i="2" s="1"/>
  <c r="I304" i="2"/>
  <c r="J304" i="2" s="1"/>
  <c r="G305" i="2" s="1"/>
  <c r="U305" i="2" s="1"/>
  <c r="W181" i="2" l="1"/>
  <c r="X181" i="2"/>
  <c r="T388" i="2"/>
  <c r="D388" i="2"/>
  <c r="C389" i="2" s="1"/>
  <c r="N181" i="2"/>
  <c r="O181" i="2" s="1"/>
  <c r="P181" i="2" s="1"/>
  <c r="Q181" i="2" s="1"/>
  <c r="H305" i="2"/>
  <c r="I305" i="2" s="1"/>
  <c r="J305" i="2" s="1"/>
  <c r="T389" i="2" l="1"/>
  <c r="D389" i="2"/>
  <c r="C390" i="2" s="1"/>
  <c r="G306" i="2"/>
  <c r="U306" i="2" s="1"/>
  <c r="M182" i="2"/>
  <c r="V182" i="2" s="1"/>
  <c r="H306" i="2" l="1"/>
  <c r="I306" i="2" s="1"/>
  <c r="J306" i="2" s="1"/>
  <c r="T390" i="2"/>
  <c r="D390" i="2"/>
  <c r="C391" i="2" s="1"/>
  <c r="W182" i="2"/>
  <c r="X182" i="2"/>
  <c r="N182" i="2"/>
  <c r="O182" i="2" s="1"/>
  <c r="P182" i="2" s="1"/>
  <c r="Q182" i="2" s="1"/>
  <c r="T391" i="2" l="1"/>
  <c r="D391" i="2"/>
  <c r="C392" i="2" s="1"/>
  <c r="G307" i="2"/>
  <c r="U307" i="2" s="1"/>
  <c r="M183" i="2"/>
  <c r="V183" i="2" s="1"/>
  <c r="H307" i="2" l="1"/>
  <c r="I307" i="2" s="1"/>
  <c r="J307" i="2" s="1"/>
  <c r="T392" i="2"/>
  <c r="D392" i="2"/>
  <c r="C393" i="2" s="1"/>
  <c r="W183" i="2"/>
  <c r="X183" i="2"/>
  <c r="N183" i="2"/>
  <c r="T393" i="2" l="1"/>
  <c r="D393" i="2"/>
  <c r="C394" i="2" s="1"/>
  <c r="G308" i="2"/>
  <c r="U308" i="2" s="1"/>
  <c r="O183" i="2"/>
  <c r="P183" i="2" s="1"/>
  <c r="Q183" i="2" s="1"/>
  <c r="H308" i="2" l="1"/>
  <c r="I308" i="2" s="1"/>
  <c r="J308" i="2" s="1"/>
  <c r="G309" i="2" s="1"/>
  <c r="T394" i="2"/>
  <c r="D394" i="2"/>
  <c r="C395" i="2" s="1"/>
  <c r="M184" i="2"/>
  <c r="V184" i="2" s="1"/>
  <c r="U309" i="2" l="1"/>
  <c r="H309" i="2"/>
  <c r="I309" i="2" s="1"/>
  <c r="J309" i="2" s="1"/>
  <c r="G310" i="2" s="1"/>
  <c r="U310" i="2" s="1"/>
  <c r="T395" i="2"/>
  <c r="D395" i="2"/>
  <c r="C396" i="2" s="1"/>
  <c r="W184" i="2"/>
  <c r="X184" i="2"/>
  <c r="N184" i="2"/>
  <c r="O184" i="2" s="1"/>
  <c r="P184" i="2" s="1"/>
  <c r="Q184" i="2" s="1"/>
  <c r="T396" i="2" l="1"/>
  <c r="D396" i="2"/>
  <c r="C397" i="2" s="1"/>
  <c r="H310" i="2"/>
  <c r="I310" i="2" s="1"/>
  <c r="J310" i="2" s="1"/>
  <c r="G311" i="2" s="1"/>
  <c r="U311" i="2" s="1"/>
  <c r="M185" i="2"/>
  <c r="V185" i="2" s="1"/>
  <c r="W185" i="2" l="1"/>
  <c r="X185" i="2"/>
  <c r="T397" i="2"/>
  <c r="D397" i="2"/>
  <c r="C398" i="2" s="1"/>
  <c r="H311" i="2"/>
  <c r="I311" i="2" s="1"/>
  <c r="J311" i="2" s="1"/>
  <c r="G312" i="2" s="1"/>
  <c r="U312" i="2" s="1"/>
  <c r="N185" i="2"/>
  <c r="O185" i="2" s="1"/>
  <c r="T398" i="2" l="1"/>
  <c r="D398" i="2"/>
  <c r="C399" i="2" s="1"/>
  <c r="H312" i="2"/>
  <c r="I312" i="2" s="1"/>
  <c r="J312" i="2" s="1"/>
  <c r="G313" i="2" s="1"/>
  <c r="U313" i="2" s="1"/>
  <c r="P185" i="2"/>
  <c r="Q185" i="2" s="1"/>
  <c r="T399" i="2" l="1"/>
  <c r="D399" i="2"/>
  <c r="C400" i="2" s="1"/>
  <c r="M186" i="2"/>
  <c r="V186" i="2" s="1"/>
  <c r="H313" i="2"/>
  <c r="I313" i="2" s="1"/>
  <c r="J313" i="2" s="1"/>
  <c r="G314" i="2" s="1"/>
  <c r="U314" i="2" s="1"/>
  <c r="T400" i="2" l="1"/>
  <c r="D400" i="2"/>
  <c r="C401" i="2" s="1"/>
  <c r="W186" i="2"/>
  <c r="X186" i="2"/>
  <c r="N186" i="2"/>
  <c r="H314" i="2"/>
  <c r="I314" i="2" s="1"/>
  <c r="J314" i="2" s="1"/>
  <c r="T401" i="2" l="1"/>
  <c r="D401" i="2"/>
  <c r="C402" i="2" s="1"/>
  <c r="O186" i="2"/>
  <c r="P186" i="2" s="1"/>
  <c r="Q186" i="2" s="1"/>
  <c r="G315" i="2"/>
  <c r="U315" i="2" s="1"/>
  <c r="T402" i="2" l="1"/>
  <c r="D402" i="2"/>
  <c r="C403" i="2" s="1"/>
  <c r="M187" i="2"/>
  <c r="V187" i="2" s="1"/>
  <c r="H315" i="2"/>
  <c r="I315" i="2" s="1"/>
  <c r="J315" i="2" s="1"/>
  <c r="G316" i="2" s="1"/>
  <c r="U316" i="2" s="1"/>
  <c r="T403" i="2" l="1"/>
  <c r="D403" i="2"/>
  <c r="C404" i="2" s="1"/>
  <c r="W187" i="2"/>
  <c r="X187" i="2"/>
  <c r="N187" i="2"/>
  <c r="O187" i="2" s="1"/>
  <c r="H316" i="2"/>
  <c r="T404" i="2" l="1"/>
  <c r="D404" i="2"/>
  <c r="C405" i="2" s="1"/>
  <c r="P187" i="2"/>
  <c r="Q187" i="2" s="1"/>
  <c r="I316" i="2"/>
  <c r="J316" i="2" s="1"/>
  <c r="G317" i="2" s="1"/>
  <c r="U317" i="2" s="1"/>
  <c r="T405" i="2" l="1"/>
  <c r="D405" i="2"/>
  <c r="C406" i="2" s="1"/>
  <c r="M188" i="2"/>
  <c r="V188" i="2" s="1"/>
  <c r="H317" i="2"/>
  <c r="I317" i="2" s="1"/>
  <c r="J317" i="2" s="1"/>
  <c r="G318" i="2" s="1"/>
  <c r="U318" i="2" s="1"/>
  <c r="T406" i="2" l="1"/>
  <c r="D406" i="2"/>
  <c r="C407" i="2" s="1"/>
  <c r="W188" i="2"/>
  <c r="X188" i="2"/>
  <c r="N188" i="2"/>
  <c r="O188" i="2"/>
  <c r="P188" i="2" s="1"/>
  <c r="Q188" i="2" s="1"/>
  <c r="H318" i="2"/>
  <c r="I318" i="2" s="1"/>
  <c r="J318" i="2" s="1"/>
  <c r="G319" i="2" s="1"/>
  <c r="U319" i="2" s="1"/>
  <c r="T407" i="2" l="1"/>
  <c r="D407" i="2"/>
  <c r="C408" i="2" s="1"/>
  <c r="M189" i="2"/>
  <c r="V189" i="2" s="1"/>
  <c r="H319" i="2"/>
  <c r="I319" i="2" s="1"/>
  <c r="J319" i="2" s="1"/>
  <c r="G320" i="2" s="1"/>
  <c r="U320" i="2" s="1"/>
  <c r="T408" i="2" l="1"/>
  <c r="D408" i="2"/>
  <c r="C409" i="2" s="1"/>
  <c r="W189" i="2"/>
  <c r="X189" i="2"/>
  <c r="N189" i="2"/>
  <c r="O189" i="2"/>
  <c r="P189" i="2" s="1"/>
  <c r="Q189" i="2" s="1"/>
  <c r="H320" i="2"/>
  <c r="I320" i="2" s="1"/>
  <c r="J320" i="2" s="1"/>
  <c r="G321" i="2" s="1"/>
  <c r="U321" i="2" s="1"/>
  <c r="T409" i="2" l="1"/>
  <c r="D409" i="2"/>
  <c r="C410" i="2" s="1"/>
  <c r="M190" i="2"/>
  <c r="V190" i="2" s="1"/>
  <c r="H321" i="2"/>
  <c r="I321" i="2" s="1"/>
  <c r="J321" i="2" s="1"/>
  <c r="G322" i="2" s="1"/>
  <c r="U322" i="2" s="1"/>
  <c r="T410" i="2" l="1"/>
  <c r="D410" i="2"/>
  <c r="C411" i="2" s="1"/>
  <c r="W190" i="2"/>
  <c r="X190" i="2"/>
  <c r="N190" i="2"/>
  <c r="O190" i="2"/>
  <c r="P190" i="2" s="1"/>
  <c r="Q190" i="2" s="1"/>
  <c r="H322" i="2"/>
  <c r="T411" i="2" l="1"/>
  <c r="D411" i="2"/>
  <c r="C412" i="2" s="1"/>
  <c r="M191" i="2"/>
  <c r="V191" i="2" s="1"/>
  <c r="I322" i="2"/>
  <c r="J322" i="2" s="1"/>
  <c r="G323" i="2" s="1"/>
  <c r="U323" i="2" s="1"/>
  <c r="W191" i="2" l="1"/>
  <c r="X191" i="2"/>
  <c r="T412" i="2"/>
  <c r="D412" i="2"/>
  <c r="C413" i="2" s="1"/>
  <c r="N191" i="2"/>
  <c r="O191" i="2" s="1"/>
  <c r="H323" i="2"/>
  <c r="I323" i="2" s="1"/>
  <c r="J323" i="2" s="1"/>
  <c r="G324" i="2" s="1"/>
  <c r="U324" i="2" s="1"/>
  <c r="T413" i="2" l="1"/>
  <c r="D413" i="2"/>
  <c r="C414" i="2" s="1"/>
  <c r="P191" i="2"/>
  <c r="Q191" i="2" s="1"/>
  <c r="H324" i="2"/>
  <c r="I324" i="2" s="1"/>
  <c r="J324" i="2" s="1"/>
  <c r="G325" i="2" s="1"/>
  <c r="U325" i="2" s="1"/>
  <c r="T414" i="2" l="1"/>
  <c r="D414" i="2"/>
  <c r="C415" i="2" s="1"/>
  <c r="M192" i="2"/>
  <c r="V192" i="2" s="1"/>
  <c r="H325" i="2"/>
  <c r="I325" i="2" s="1"/>
  <c r="J325" i="2" s="1"/>
  <c r="G326" i="2" s="1"/>
  <c r="U326" i="2" s="1"/>
  <c r="D415" i="2" l="1"/>
  <c r="T415" i="2"/>
  <c r="W192" i="2"/>
  <c r="X192" i="2"/>
  <c r="N192" i="2"/>
  <c r="H326" i="2"/>
  <c r="I326" i="2" s="1"/>
  <c r="J326" i="2" s="1"/>
  <c r="G327" i="2" s="1"/>
  <c r="U327" i="2" s="1"/>
  <c r="O192" i="2" l="1"/>
  <c r="P192" i="2" s="1"/>
  <c r="Q192" i="2" s="1"/>
  <c r="H327" i="2"/>
  <c r="I327" i="2" s="1"/>
  <c r="J327" i="2" s="1"/>
  <c r="M193" i="2" l="1"/>
  <c r="V193" i="2" s="1"/>
  <c r="G328" i="2"/>
  <c r="U328" i="2" s="1"/>
  <c r="W193" i="2" l="1"/>
  <c r="X193" i="2"/>
  <c r="N193" i="2"/>
  <c r="O193" i="2" s="1"/>
  <c r="H328" i="2"/>
  <c r="I328" i="2" s="1"/>
  <c r="J328" i="2" s="1"/>
  <c r="G329" i="2" s="1"/>
  <c r="U329" i="2" s="1"/>
  <c r="P193" i="2" l="1"/>
  <c r="Q193" i="2" s="1"/>
  <c r="H329" i="2"/>
  <c r="M194" i="2" l="1"/>
  <c r="V194" i="2" s="1"/>
  <c r="I329" i="2"/>
  <c r="J329" i="2" s="1"/>
  <c r="G330" i="2" s="1"/>
  <c r="U330" i="2" s="1"/>
  <c r="W194" i="2" l="1"/>
  <c r="X194" i="2"/>
  <c r="N194" i="2"/>
  <c r="O194" i="2" s="1"/>
  <c r="P194" i="2" s="1"/>
  <c r="Q194" i="2" s="1"/>
  <c r="H330" i="2"/>
  <c r="I330" i="2" s="1"/>
  <c r="J330" i="2" s="1"/>
  <c r="G331" i="2" s="1"/>
  <c r="U331" i="2" s="1"/>
  <c r="M195" i="2" l="1"/>
  <c r="V195" i="2" s="1"/>
  <c r="H331" i="2"/>
  <c r="I331" i="2" s="1"/>
  <c r="J331" i="2" s="1"/>
  <c r="G332" i="2" s="1"/>
  <c r="U332" i="2" s="1"/>
  <c r="W195" i="2" l="1"/>
  <c r="X195" i="2"/>
  <c r="N195" i="2"/>
  <c r="O195" i="2" s="1"/>
  <c r="P195" i="2" s="1"/>
  <c r="Q195" i="2" s="1"/>
  <c r="H332" i="2"/>
  <c r="I332" i="2" l="1"/>
  <c r="J332" i="2" s="1"/>
  <c r="G333" i="2" s="1"/>
  <c r="M196" i="2"/>
  <c r="V196" i="2" s="1"/>
  <c r="W196" i="2" l="1"/>
  <c r="X196" i="2"/>
  <c r="H333" i="2"/>
  <c r="I333" i="2" s="1"/>
  <c r="J333" i="2" s="1"/>
  <c r="G334" i="2" s="1"/>
  <c r="U334" i="2" s="1"/>
  <c r="U333" i="2"/>
  <c r="N196" i="2"/>
  <c r="O196" i="2" s="1"/>
  <c r="P196" i="2" s="1"/>
  <c r="Q196" i="2" s="1"/>
  <c r="M197" i="2" l="1"/>
  <c r="V197" i="2" s="1"/>
  <c r="H334" i="2"/>
  <c r="I334" i="2" s="1"/>
  <c r="J334" i="2" s="1"/>
  <c r="W197" i="2" l="1"/>
  <c r="X197" i="2"/>
  <c r="N197" i="2"/>
  <c r="O197" i="2" s="1"/>
  <c r="P197" i="2" s="1"/>
  <c r="Q197" i="2" s="1"/>
  <c r="G335" i="2"/>
  <c r="U335" i="2" s="1"/>
  <c r="M198" i="2" l="1"/>
  <c r="V198" i="2" s="1"/>
  <c r="H335" i="2"/>
  <c r="I335" i="2" s="1"/>
  <c r="J335" i="2" s="1"/>
  <c r="W198" i="2" l="1"/>
  <c r="X198" i="2"/>
  <c r="N198" i="2"/>
  <c r="O198" i="2" s="1"/>
  <c r="P198" i="2" s="1"/>
  <c r="Q198" i="2" s="1"/>
  <c r="G336" i="2"/>
  <c r="U336" i="2" s="1"/>
  <c r="M199" i="2" l="1"/>
  <c r="V199" i="2" s="1"/>
  <c r="H336" i="2"/>
  <c r="W199" i="2" l="1"/>
  <c r="X199" i="2"/>
  <c r="N199" i="2"/>
  <c r="O199" i="2" s="1"/>
  <c r="P199" i="2" s="1"/>
  <c r="Q199" i="2" s="1"/>
  <c r="I336" i="2"/>
  <c r="J336" i="2" s="1"/>
  <c r="G337" i="2" s="1"/>
  <c r="U337" i="2" s="1"/>
  <c r="M200" i="2" l="1"/>
  <c r="V200" i="2" s="1"/>
  <c r="H337" i="2"/>
  <c r="I337" i="2" s="1"/>
  <c r="J337" i="2" s="1"/>
  <c r="W200" i="2" l="1"/>
  <c r="X200" i="2"/>
  <c r="N200" i="2"/>
  <c r="O200" i="2" s="1"/>
  <c r="P200" i="2" s="1"/>
  <c r="Q200" i="2" s="1"/>
  <c r="G338" i="2"/>
  <c r="U338" i="2" s="1"/>
  <c r="M201" i="2" l="1"/>
  <c r="V201" i="2" s="1"/>
  <c r="H338" i="2"/>
  <c r="I338" i="2" s="1"/>
  <c r="J338" i="2" s="1"/>
  <c r="W201" i="2" l="1"/>
  <c r="X201" i="2"/>
  <c r="N201" i="2"/>
  <c r="O201" i="2" s="1"/>
  <c r="P201" i="2" s="1"/>
  <c r="Q201" i="2" s="1"/>
  <c r="G339" i="2"/>
  <c r="U339" i="2" s="1"/>
  <c r="M202" i="2" l="1"/>
  <c r="V202" i="2" s="1"/>
  <c r="H339" i="2"/>
  <c r="I339" i="2" s="1"/>
  <c r="J339" i="2" s="1"/>
  <c r="W202" i="2" l="1"/>
  <c r="X202" i="2"/>
  <c r="G340" i="2"/>
  <c r="N202" i="2"/>
  <c r="H340" i="2" l="1"/>
  <c r="I340" i="2" s="1"/>
  <c r="J340" i="2" s="1"/>
  <c r="G341" i="2" s="1"/>
  <c r="U340" i="2"/>
  <c r="O202" i="2"/>
  <c r="P202" i="2" s="1"/>
  <c r="Q202" i="2" s="1"/>
  <c r="H341" i="2" l="1"/>
  <c r="I341" i="2" s="1"/>
  <c r="J341" i="2" s="1"/>
  <c r="G342" i="2" s="1"/>
  <c r="U342" i="2" s="1"/>
  <c r="U341" i="2"/>
  <c r="M203" i="2"/>
  <c r="V203" i="2" s="1"/>
  <c r="W203" i="2" l="1"/>
  <c r="X203" i="2"/>
  <c r="N203" i="2"/>
  <c r="O203" i="2" s="1"/>
  <c r="P203" i="2" s="1"/>
  <c r="Q203" i="2" s="1"/>
  <c r="H342" i="2"/>
  <c r="M204" i="2" l="1"/>
  <c r="V204" i="2" s="1"/>
  <c r="I342" i="2"/>
  <c r="J342" i="2" s="1"/>
  <c r="G343" i="2" s="1"/>
  <c r="U343" i="2" s="1"/>
  <c r="W204" i="2" l="1"/>
  <c r="X204" i="2"/>
  <c r="N204" i="2"/>
  <c r="O204" i="2" s="1"/>
  <c r="P204" i="2" s="1"/>
  <c r="Q204" i="2" s="1"/>
  <c r="H343" i="2"/>
  <c r="I343" i="2" s="1"/>
  <c r="J343" i="2" s="1"/>
  <c r="G344" i="2" s="1"/>
  <c r="U344" i="2" s="1"/>
  <c r="M205" i="2" l="1"/>
  <c r="V205" i="2" s="1"/>
  <c r="H344" i="2"/>
  <c r="W205" i="2" l="1"/>
  <c r="X205" i="2"/>
  <c r="N205" i="2"/>
  <c r="O205" i="2" s="1"/>
  <c r="P205" i="2" s="1"/>
  <c r="Q205" i="2" s="1"/>
  <c r="I344" i="2"/>
  <c r="J344" i="2" s="1"/>
  <c r="G345" i="2" s="1"/>
  <c r="U345" i="2" s="1"/>
  <c r="M206" i="2" l="1"/>
  <c r="V206" i="2" s="1"/>
  <c r="H345" i="2"/>
  <c r="W206" i="2" l="1"/>
  <c r="X206" i="2"/>
  <c r="N206" i="2"/>
  <c r="I345" i="2"/>
  <c r="J345" i="2" s="1"/>
  <c r="G346" i="2" s="1"/>
  <c r="U346" i="2" s="1"/>
  <c r="O206" i="2" l="1"/>
  <c r="P206" i="2" s="1"/>
  <c r="Q206" i="2" s="1"/>
  <c r="H346" i="2"/>
  <c r="M207" i="2" l="1"/>
  <c r="V207" i="2" s="1"/>
  <c r="I346" i="2"/>
  <c r="J346" i="2" s="1"/>
  <c r="G347" i="2" s="1"/>
  <c r="U347" i="2" s="1"/>
  <c r="W207" i="2" l="1"/>
  <c r="X207" i="2"/>
  <c r="N207" i="2"/>
  <c r="O207" i="2" s="1"/>
  <c r="H347" i="2"/>
  <c r="I347" i="2" s="1"/>
  <c r="J347" i="2" s="1"/>
  <c r="P207" i="2" l="1"/>
  <c r="Q207" i="2" s="1"/>
  <c r="G348" i="2"/>
  <c r="U348" i="2" s="1"/>
  <c r="M208" i="2" l="1"/>
  <c r="H348" i="2"/>
  <c r="I348" i="2" s="1"/>
  <c r="J348" i="2" s="1"/>
  <c r="G349" i="2" s="1"/>
  <c r="U349" i="2" s="1"/>
  <c r="N208" i="2" l="1"/>
  <c r="O208" i="2" s="1"/>
  <c r="P208" i="2" s="1"/>
  <c r="Q208" i="2" s="1"/>
  <c r="V208" i="2"/>
  <c r="H349" i="2"/>
  <c r="I349" i="2" s="1"/>
  <c r="J349" i="2" s="1"/>
  <c r="G350" i="2" s="1"/>
  <c r="U350" i="2" s="1"/>
  <c r="M209" i="2" l="1"/>
  <c r="V209" i="2" s="1"/>
  <c r="W209" i="2" s="1"/>
  <c r="X209" i="2"/>
  <c r="W208" i="2"/>
  <c r="X208" i="2"/>
  <c r="N209" i="2"/>
  <c r="O209" i="2" s="1"/>
  <c r="H350" i="2"/>
  <c r="I350" i="2" s="1"/>
  <c r="J350" i="2" s="1"/>
  <c r="G351" i="2" s="1"/>
  <c r="U351" i="2" s="1"/>
  <c r="P209" i="2" l="1"/>
  <c r="Q209" i="2" s="1"/>
  <c r="H351" i="2"/>
  <c r="I351" i="2" s="1"/>
  <c r="J351" i="2" s="1"/>
  <c r="M210" i="2" l="1"/>
  <c r="V210" i="2" s="1"/>
  <c r="G352" i="2"/>
  <c r="U352" i="2" s="1"/>
  <c r="W210" i="2" l="1"/>
  <c r="X210" i="2"/>
  <c r="N210" i="2"/>
  <c r="O210" i="2" s="1"/>
  <c r="H352" i="2"/>
  <c r="P210" i="2" l="1"/>
  <c r="Q210" i="2" s="1"/>
  <c r="M211" i="2" s="1"/>
  <c r="V211" i="2" s="1"/>
  <c r="I352" i="2"/>
  <c r="J352" i="2" s="1"/>
  <c r="G353" i="2" s="1"/>
  <c r="U353" i="2" s="1"/>
  <c r="W211" i="2" l="1"/>
  <c r="X211" i="2"/>
  <c r="N211" i="2"/>
  <c r="O211" i="2" s="1"/>
  <c r="H353" i="2"/>
  <c r="P211" i="2" l="1"/>
  <c r="Q211" i="2" s="1"/>
  <c r="I353" i="2"/>
  <c r="J353" i="2" s="1"/>
  <c r="G354" i="2" s="1"/>
  <c r="U354" i="2" s="1"/>
  <c r="M212" i="2" l="1"/>
  <c r="V212" i="2" s="1"/>
  <c r="H354" i="2"/>
  <c r="W212" i="2" l="1"/>
  <c r="X212" i="2"/>
  <c r="I354" i="2"/>
  <c r="J354" i="2" s="1"/>
  <c r="G355" i="2" s="1"/>
  <c r="U355" i="2" s="1"/>
  <c r="N212" i="2"/>
  <c r="O212" i="2" s="1"/>
  <c r="H355" i="2" l="1"/>
  <c r="I355" i="2" s="1"/>
  <c r="J355" i="2" s="1"/>
  <c r="P212" i="2"/>
  <c r="Q212" i="2" s="1"/>
  <c r="M213" i="2" s="1"/>
  <c r="V213" i="2" s="1"/>
  <c r="W213" i="2" l="1"/>
  <c r="X213" i="2"/>
  <c r="G356" i="2"/>
  <c r="U356" i="2" s="1"/>
  <c r="N213" i="2"/>
  <c r="O213" i="2" s="1"/>
  <c r="P213" i="2" s="1"/>
  <c r="Q213" i="2" s="1"/>
  <c r="H356" i="2" l="1"/>
  <c r="M214" i="2"/>
  <c r="V214" i="2" s="1"/>
  <c r="W214" i="2" l="1"/>
  <c r="X214" i="2"/>
  <c r="I356" i="2"/>
  <c r="J356" i="2" s="1"/>
  <c r="G357" i="2" s="1"/>
  <c r="U357" i="2" s="1"/>
  <c r="N214" i="2"/>
  <c r="O214" i="2" s="1"/>
  <c r="H357" i="2" l="1"/>
  <c r="I357" i="2" s="1"/>
  <c r="J357" i="2" s="1"/>
  <c r="P214" i="2"/>
  <c r="Q214" i="2" s="1"/>
  <c r="M215" i="2" l="1"/>
  <c r="V215" i="2" s="1"/>
  <c r="G358" i="2"/>
  <c r="U358" i="2" s="1"/>
  <c r="N215" i="2"/>
  <c r="O215" i="2" s="1"/>
  <c r="P215" i="2" s="1"/>
  <c r="W215" i="2" l="1"/>
  <c r="X215" i="2"/>
  <c r="H358" i="2"/>
  <c r="I358" i="2" s="1"/>
  <c r="J358" i="2" s="1"/>
  <c r="G359" i="2" s="1"/>
  <c r="U359" i="2" s="1"/>
  <c r="Q215" i="2"/>
  <c r="M216" i="2" s="1"/>
  <c r="V216" i="2" s="1"/>
  <c r="W216" i="2" l="1"/>
  <c r="X216" i="2"/>
  <c r="H359" i="2"/>
  <c r="I359" i="2" s="1"/>
  <c r="J359" i="2" s="1"/>
  <c r="G360" i="2" s="1"/>
  <c r="U360" i="2" s="1"/>
  <c r="N216" i="2"/>
  <c r="O216" i="2" s="1"/>
  <c r="H360" i="2" l="1"/>
  <c r="I360" i="2" s="1"/>
  <c r="J360" i="2" s="1"/>
  <c r="G361" i="2" s="1"/>
  <c r="U361" i="2" s="1"/>
  <c r="P216" i="2"/>
  <c r="Q216" i="2" s="1"/>
  <c r="M217" i="2" s="1"/>
  <c r="V217" i="2" s="1"/>
  <c r="W217" i="2" l="1"/>
  <c r="X217" i="2"/>
  <c r="H361" i="2"/>
  <c r="I361" i="2" s="1"/>
  <c r="J361" i="2" s="1"/>
  <c r="G362" i="2" s="1"/>
  <c r="U362" i="2" s="1"/>
  <c r="N217" i="2"/>
  <c r="O217" i="2" s="1"/>
  <c r="P217" i="2" s="1"/>
  <c r="Q217" i="2" s="1"/>
  <c r="H362" i="2" l="1"/>
  <c r="I362" i="2" s="1"/>
  <c r="J362" i="2" s="1"/>
  <c r="G363" i="2" s="1"/>
  <c r="M218" i="2"/>
  <c r="V218" i="2" s="1"/>
  <c r="W218" i="2" l="1"/>
  <c r="X218" i="2"/>
  <c r="H363" i="2"/>
  <c r="I363" i="2" s="1"/>
  <c r="J363" i="2" s="1"/>
  <c r="U363" i="2"/>
  <c r="N218" i="2"/>
  <c r="O218" i="2" s="1"/>
  <c r="P218" i="2" s="1"/>
  <c r="Q218" i="2" s="1"/>
  <c r="G364" i="2" l="1"/>
  <c r="U364" i="2" s="1"/>
  <c r="M219" i="2"/>
  <c r="V219" i="2" s="1"/>
  <c r="H364" i="2" l="1"/>
  <c r="W219" i="2"/>
  <c r="X219" i="2"/>
  <c r="N219" i="2"/>
  <c r="O219" i="2" s="1"/>
  <c r="P219" i="2" s="1"/>
  <c r="Q219" i="2" s="1"/>
  <c r="I364" i="2"/>
  <c r="J364" i="2" s="1"/>
  <c r="G365" i="2" s="1"/>
  <c r="U365" i="2" s="1"/>
  <c r="M220" i="2" l="1"/>
  <c r="V220" i="2" s="1"/>
  <c r="H365" i="2"/>
  <c r="I365" i="2" s="1"/>
  <c r="J365" i="2" s="1"/>
  <c r="G366" i="2" s="1"/>
  <c r="U366" i="2" s="1"/>
  <c r="W220" i="2" l="1"/>
  <c r="X220" i="2"/>
  <c r="N220" i="2"/>
  <c r="O220" i="2" s="1"/>
  <c r="P220" i="2" s="1"/>
  <c r="Q220" i="2" s="1"/>
  <c r="H366" i="2"/>
  <c r="I366" i="2" s="1"/>
  <c r="J366" i="2" s="1"/>
  <c r="G367" i="2" s="1"/>
  <c r="U367" i="2" s="1"/>
  <c r="M221" i="2" l="1"/>
  <c r="V221" i="2" s="1"/>
  <c r="H367" i="2"/>
  <c r="I367" i="2" s="1"/>
  <c r="J367" i="2" s="1"/>
  <c r="W221" i="2" l="1"/>
  <c r="X221" i="2"/>
  <c r="N221" i="2"/>
  <c r="O221" i="2" s="1"/>
  <c r="P221" i="2" s="1"/>
  <c r="Q221" i="2" s="1"/>
  <c r="G368" i="2"/>
  <c r="U368" i="2" s="1"/>
  <c r="M222" i="2" l="1"/>
  <c r="V222" i="2" s="1"/>
  <c r="H368" i="2"/>
  <c r="W222" i="2" l="1"/>
  <c r="X222" i="2"/>
  <c r="N222" i="2"/>
  <c r="O222" i="2" s="1"/>
  <c r="P222" i="2" s="1"/>
  <c r="Q222" i="2" s="1"/>
  <c r="I368" i="2"/>
  <c r="J368" i="2" s="1"/>
  <c r="G369" i="2" s="1"/>
  <c r="U369" i="2" s="1"/>
  <c r="M223" i="2" l="1"/>
  <c r="V223" i="2" s="1"/>
  <c r="H369" i="2"/>
  <c r="I369" i="2" s="1"/>
  <c r="J369" i="2" s="1"/>
  <c r="W223" i="2" l="1"/>
  <c r="X223" i="2"/>
  <c r="G370" i="2"/>
  <c r="U370" i="2" s="1"/>
  <c r="N223" i="2"/>
  <c r="H370" i="2" l="1"/>
  <c r="I370" i="2" s="1"/>
  <c r="J370" i="2" s="1"/>
  <c r="G371" i="2" s="1"/>
  <c r="O223" i="2"/>
  <c r="P223" i="2" s="1"/>
  <c r="Q223" i="2" s="1"/>
  <c r="H371" i="2" l="1"/>
  <c r="I371" i="2" s="1"/>
  <c r="J371" i="2" s="1"/>
  <c r="G372" i="2" s="1"/>
  <c r="U372" i="2" s="1"/>
  <c r="U371" i="2"/>
  <c r="M224" i="2"/>
  <c r="V224" i="2" s="1"/>
  <c r="W224" i="2" l="1"/>
  <c r="X224" i="2"/>
  <c r="N224" i="2"/>
  <c r="O224" i="2" s="1"/>
  <c r="P224" i="2" s="1"/>
  <c r="Q224" i="2" s="1"/>
  <c r="H372" i="2"/>
  <c r="I372" i="2" s="1"/>
  <c r="J372" i="2" s="1"/>
  <c r="G373" i="2" l="1"/>
  <c r="U373" i="2" s="1"/>
  <c r="M225" i="2"/>
  <c r="V225" i="2" s="1"/>
  <c r="H373" i="2"/>
  <c r="W225" i="2" l="1"/>
  <c r="X225" i="2"/>
  <c r="N225" i="2"/>
  <c r="O225" i="2" s="1"/>
  <c r="P225" i="2" s="1"/>
  <c r="Q225" i="2" s="1"/>
  <c r="I373" i="2"/>
  <c r="J373" i="2" s="1"/>
  <c r="G374" i="2" s="1"/>
  <c r="U374" i="2" s="1"/>
  <c r="M226" i="2" l="1"/>
  <c r="V226" i="2" s="1"/>
  <c r="H374" i="2"/>
  <c r="W226" i="2" l="1"/>
  <c r="X226" i="2"/>
  <c r="N226" i="2"/>
  <c r="O226" i="2" s="1"/>
  <c r="P226" i="2" s="1"/>
  <c r="Q226" i="2" s="1"/>
  <c r="I374" i="2"/>
  <c r="J374" i="2" s="1"/>
  <c r="G375" i="2" s="1"/>
  <c r="U375" i="2" s="1"/>
  <c r="M227" i="2" l="1"/>
  <c r="V227" i="2" s="1"/>
  <c r="H375" i="2"/>
  <c r="I375" i="2" s="1"/>
  <c r="J375" i="2" s="1"/>
  <c r="W227" i="2" l="1"/>
  <c r="X227" i="2"/>
  <c r="N227" i="2"/>
  <c r="G376" i="2"/>
  <c r="U376" i="2" s="1"/>
  <c r="O227" i="2" l="1"/>
  <c r="P227" i="2" s="1"/>
  <c r="Q227" i="2" s="1"/>
  <c r="H376" i="2"/>
  <c r="M228" i="2" l="1"/>
  <c r="V228" i="2" s="1"/>
  <c r="I376" i="2"/>
  <c r="J376" i="2" s="1"/>
  <c r="G377" i="2" s="1"/>
  <c r="U377" i="2" s="1"/>
  <c r="W228" i="2" l="1"/>
  <c r="X228" i="2"/>
  <c r="N228" i="2"/>
  <c r="O228" i="2" s="1"/>
  <c r="P228" i="2" s="1"/>
  <c r="Q228" i="2" s="1"/>
  <c r="H377" i="2"/>
  <c r="M229" i="2" l="1"/>
  <c r="V229" i="2" s="1"/>
  <c r="I377" i="2"/>
  <c r="J377" i="2" s="1"/>
  <c r="G378" i="2" s="1"/>
  <c r="U378" i="2" s="1"/>
  <c r="W229" i="2" l="1"/>
  <c r="X229" i="2"/>
  <c r="N229" i="2"/>
  <c r="O229" i="2" s="1"/>
  <c r="P229" i="2" s="1"/>
  <c r="Q229" i="2" s="1"/>
  <c r="H378" i="2"/>
  <c r="M230" i="2" l="1"/>
  <c r="V230" i="2" s="1"/>
  <c r="I378" i="2"/>
  <c r="J378" i="2" s="1"/>
  <c r="G379" i="2" s="1"/>
  <c r="U379" i="2" s="1"/>
  <c r="W230" i="2" l="1"/>
  <c r="X230" i="2"/>
  <c r="N230" i="2"/>
  <c r="O230" i="2" s="1"/>
  <c r="P230" i="2" s="1"/>
  <c r="Q230" i="2" s="1"/>
  <c r="H379" i="2"/>
  <c r="I379" i="2" s="1"/>
  <c r="J379" i="2" s="1"/>
  <c r="M231" i="2" l="1"/>
  <c r="V231" i="2" s="1"/>
  <c r="G380" i="2"/>
  <c r="U380" i="2" s="1"/>
  <c r="W231" i="2" l="1"/>
  <c r="X231" i="2"/>
  <c r="N231" i="2"/>
  <c r="H380" i="2"/>
  <c r="O231" i="2" l="1"/>
  <c r="P231" i="2" s="1"/>
  <c r="Q231" i="2" s="1"/>
  <c r="I380" i="2"/>
  <c r="J380" i="2" s="1"/>
  <c r="G381" i="2" s="1"/>
  <c r="U381" i="2" s="1"/>
  <c r="M232" i="2" l="1"/>
  <c r="V232" i="2" s="1"/>
  <c r="H381" i="2"/>
  <c r="I381" i="2" s="1"/>
  <c r="J381" i="2" s="1"/>
  <c r="W232" i="2" l="1"/>
  <c r="X232" i="2"/>
  <c r="G382" i="2"/>
  <c r="N232" i="2"/>
  <c r="O232" i="2" s="1"/>
  <c r="P232" i="2" s="1"/>
  <c r="Q232" i="2" s="1"/>
  <c r="H382" i="2" l="1"/>
  <c r="U382" i="2"/>
  <c r="I382" i="2"/>
  <c r="J382" i="2" s="1"/>
  <c r="G383" i="2" s="1"/>
  <c r="M233" i="2"/>
  <c r="V233" i="2" s="1"/>
  <c r="W233" i="2" l="1"/>
  <c r="X233" i="2"/>
  <c r="H383" i="2"/>
  <c r="I383" i="2" s="1"/>
  <c r="J383" i="2" s="1"/>
  <c r="U383" i="2"/>
  <c r="N233" i="2"/>
  <c r="G384" i="2" l="1"/>
  <c r="U384" i="2" s="1"/>
  <c r="O233" i="2"/>
  <c r="P233" i="2" s="1"/>
  <c r="Q233" i="2" s="1"/>
  <c r="H384" i="2" l="1"/>
  <c r="I384" i="2" s="1"/>
  <c r="J384" i="2" s="1"/>
  <c r="G385" i="2" s="1"/>
  <c r="U385" i="2" s="1"/>
  <c r="M234" i="2"/>
  <c r="V234" i="2" s="1"/>
  <c r="W234" i="2" l="1"/>
  <c r="X234" i="2"/>
  <c r="N234" i="2"/>
  <c r="O234" i="2" s="1"/>
  <c r="P234" i="2" s="1"/>
  <c r="Q234" i="2" s="1"/>
  <c r="H385" i="2"/>
  <c r="M235" i="2" l="1"/>
  <c r="V235" i="2" s="1"/>
  <c r="I385" i="2"/>
  <c r="J385" i="2" s="1"/>
  <c r="G386" i="2" s="1"/>
  <c r="U386" i="2" s="1"/>
  <c r="W235" i="2" l="1"/>
  <c r="X235" i="2"/>
  <c r="N235" i="2"/>
  <c r="H386" i="2"/>
  <c r="O235" i="2" l="1"/>
  <c r="P235" i="2" s="1"/>
  <c r="Q235" i="2" s="1"/>
  <c r="I386" i="2"/>
  <c r="J386" i="2" s="1"/>
  <c r="G387" i="2" s="1"/>
  <c r="U387" i="2" s="1"/>
  <c r="M236" i="2" l="1"/>
  <c r="V236" i="2" s="1"/>
  <c r="H387" i="2"/>
  <c r="W236" i="2" l="1"/>
  <c r="X236" i="2"/>
  <c r="I387" i="2"/>
  <c r="J387" i="2" s="1"/>
  <c r="G388" i="2" s="1"/>
  <c r="N236" i="2"/>
  <c r="O236" i="2" s="1"/>
  <c r="P236" i="2" s="1"/>
  <c r="Q236" i="2" s="1"/>
  <c r="H388" i="2" l="1"/>
  <c r="I388" i="2" s="1"/>
  <c r="J388" i="2" s="1"/>
  <c r="G389" i="2" s="1"/>
  <c r="U389" i="2" s="1"/>
  <c r="U388" i="2"/>
  <c r="M237" i="2"/>
  <c r="V237" i="2" s="1"/>
  <c r="W237" i="2" l="1"/>
  <c r="X237" i="2"/>
  <c r="N237" i="2"/>
  <c r="O237" i="2" s="1"/>
  <c r="P237" i="2" s="1"/>
  <c r="Q237" i="2" s="1"/>
  <c r="H389" i="2"/>
  <c r="M238" i="2" l="1"/>
  <c r="V238" i="2" s="1"/>
  <c r="I389" i="2"/>
  <c r="J389" i="2" s="1"/>
  <c r="G390" i="2" s="1"/>
  <c r="U390" i="2" s="1"/>
  <c r="W238" i="2" l="1"/>
  <c r="X238" i="2"/>
  <c r="N238" i="2"/>
  <c r="O238" i="2" s="1"/>
  <c r="P238" i="2" s="1"/>
  <c r="Q238" i="2" s="1"/>
  <c r="H390" i="2"/>
  <c r="I390" i="2" s="1"/>
  <c r="J390" i="2" s="1"/>
  <c r="G391" i="2" s="1"/>
  <c r="U391" i="2" s="1"/>
  <c r="M239" i="2" l="1"/>
  <c r="V239" i="2" s="1"/>
  <c r="H391" i="2"/>
  <c r="I391" i="2" s="1"/>
  <c r="J391" i="2" s="1"/>
  <c r="W239" i="2" l="1"/>
  <c r="X239" i="2"/>
  <c r="N239" i="2"/>
  <c r="O239" i="2" s="1"/>
  <c r="G392" i="2"/>
  <c r="U392" i="2" s="1"/>
  <c r="P239" i="2" l="1"/>
  <c r="Q239" i="2" s="1"/>
  <c r="M240" i="2" s="1"/>
  <c r="V240" i="2" s="1"/>
  <c r="H392" i="2"/>
  <c r="I392" i="2" s="1"/>
  <c r="J392" i="2" s="1"/>
  <c r="G393" i="2" s="1"/>
  <c r="U393" i="2" s="1"/>
  <c r="W240" i="2" l="1"/>
  <c r="X240" i="2"/>
  <c r="N240" i="2"/>
  <c r="O240" i="2" s="1"/>
  <c r="P240" i="2" s="1"/>
  <c r="Q240" i="2" s="1"/>
  <c r="H393" i="2"/>
  <c r="I393" i="2" s="1"/>
  <c r="J393" i="2" s="1"/>
  <c r="G394" i="2" s="1"/>
  <c r="U394" i="2" s="1"/>
  <c r="M241" i="2" l="1"/>
  <c r="V241" i="2" s="1"/>
  <c r="H394" i="2"/>
  <c r="I394" i="2" s="1"/>
  <c r="J394" i="2" s="1"/>
  <c r="G395" i="2" s="1"/>
  <c r="U395" i="2" s="1"/>
  <c r="W241" i="2" l="1"/>
  <c r="X241" i="2"/>
  <c r="N241" i="2"/>
  <c r="H395" i="2"/>
  <c r="I395" i="2" s="1"/>
  <c r="J395" i="2" s="1"/>
  <c r="O241" i="2" l="1"/>
  <c r="P241" i="2" s="1"/>
  <c r="Q241" i="2" s="1"/>
  <c r="G396" i="2"/>
  <c r="U396" i="2" s="1"/>
  <c r="M242" i="2" l="1"/>
  <c r="V242" i="2" s="1"/>
  <c r="H396" i="2"/>
  <c r="I396" i="2"/>
  <c r="J396" i="2" s="1"/>
  <c r="G397" i="2" s="1"/>
  <c r="U397" i="2" s="1"/>
  <c r="W242" i="2" l="1"/>
  <c r="X242" i="2"/>
  <c r="N242" i="2"/>
  <c r="O242" i="2" s="1"/>
  <c r="P242" i="2" s="1"/>
  <c r="Q242" i="2" s="1"/>
  <c r="H397" i="2"/>
  <c r="M243" i="2" l="1"/>
  <c r="V243" i="2" s="1"/>
  <c r="I397" i="2"/>
  <c r="J397" i="2" s="1"/>
  <c r="G398" i="2" s="1"/>
  <c r="U398" i="2" s="1"/>
  <c r="W243" i="2" l="1"/>
  <c r="X243" i="2"/>
  <c r="N243" i="2"/>
  <c r="O243" i="2" s="1"/>
  <c r="P243" i="2" s="1"/>
  <c r="Q243" i="2" s="1"/>
  <c r="H398" i="2"/>
  <c r="I398" i="2" s="1"/>
  <c r="J398" i="2" s="1"/>
  <c r="G399" i="2" s="1"/>
  <c r="U399" i="2" s="1"/>
  <c r="M244" i="2" l="1"/>
  <c r="V244" i="2" s="1"/>
  <c r="H399" i="2"/>
  <c r="W244" i="2" l="1"/>
  <c r="X244" i="2"/>
  <c r="I399" i="2"/>
  <c r="J399" i="2" s="1"/>
  <c r="G400" i="2" s="1"/>
  <c r="N244" i="2"/>
  <c r="O244" i="2" s="1"/>
  <c r="P244" i="2" s="1"/>
  <c r="Q244" i="2" s="1"/>
  <c r="H400" i="2" l="1"/>
  <c r="U400" i="2"/>
  <c r="M245" i="2"/>
  <c r="V245" i="2" s="1"/>
  <c r="I400" i="2"/>
  <c r="J400" i="2" s="1"/>
  <c r="G401" i="2" s="1"/>
  <c r="U401" i="2" s="1"/>
  <c r="W245" i="2" l="1"/>
  <c r="X245" i="2"/>
  <c r="N245" i="2"/>
  <c r="O245" i="2" s="1"/>
  <c r="H401" i="2"/>
  <c r="I401" i="2" s="1"/>
  <c r="J401" i="2" s="1"/>
  <c r="G402" i="2" l="1"/>
  <c r="U402" i="2" s="1"/>
  <c r="P245" i="2"/>
  <c r="Q245" i="2" s="1"/>
  <c r="M246" i="2" s="1"/>
  <c r="V246" i="2" s="1"/>
  <c r="W246" i="2" l="1"/>
  <c r="X246" i="2"/>
  <c r="H402" i="2"/>
  <c r="I402" i="2" s="1"/>
  <c r="J402" i="2" s="1"/>
  <c r="N246" i="2"/>
  <c r="O246" i="2" s="1"/>
  <c r="P246" i="2" s="1"/>
  <c r="Q246" i="2" s="1"/>
  <c r="G403" i="2" l="1"/>
  <c r="U403" i="2" s="1"/>
  <c r="M247" i="2"/>
  <c r="V247" i="2" s="1"/>
  <c r="W247" i="2" l="1"/>
  <c r="X247" i="2"/>
  <c r="H403" i="2"/>
  <c r="I403" i="2" s="1"/>
  <c r="J403" i="2" s="1"/>
  <c r="G404" i="2" s="1"/>
  <c r="U404" i="2" s="1"/>
  <c r="N247" i="2"/>
  <c r="O247" i="2" s="1"/>
  <c r="P247" i="2" s="1"/>
  <c r="Q247" i="2" s="1"/>
  <c r="H404" i="2" l="1"/>
  <c r="I404" i="2" s="1"/>
  <c r="J404" i="2" s="1"/>
  <c r="G405" i="2" s="1"/>
  <c r="U405" i="2" s="1"/>
  <c r="M248" i="2"/>
  <c r="V248" i="2" s="1"/>
  <c r="W248" i="2" l="1"/>
  <c r="X248" i="2"/>
  <c r="N248" i="2"/>
  <c r="O248" i="2" s="1"/>
  <c r="P248" i="2" s="1"/>
  <c r="Q248" i="2" s="1"/>
  <c r="H405" i="2"/>
  <c r="I405" i="2" s="1"/>
  <c r="J405" i="2" s="1"/>
  <c r="G406" i="2" l="1"/>
  <c r="U406" i="2" s="1"/>
  <c r="M249" i="2"/>
  <c r="V249" i="2" s="1"/>
  <c r="W249" i="2" l="1"/>
  <c r="X249" i="2"/>
  <c r="H406" i="2"/>
  <c r="I406" i="2" s="1"/>
  <c r="J406" i="2" s="1"/>
  <c r="N249" i="2"/>
  <c r="O249" i="2" s="1"/>
  <c r="P249" i="2" s="1"/>
  <c r="Q249" i="2" s="1"/>
  <c r="G407" i="2" l="1"/>
  <c r="U407" i="2" s="1"/>
  <c r="M250" i="2"/>
  <c r="V250" i="2" s="1"/>
  <c r="H407" i="2"/>
  <c r="I407" i="2" s="1"/>
  <c r="J407" i="2" s="1"/>
  <c r="W250" i="2" l="1"/>
  <c r="X250" i="2"/>
  <c r="N250" i="2"/>
  <c r="O250" i="2" s="1"/>
  <c r="P250" i="2" s="1"/>
  <c r="Q250" i="2" s="1"/>
  <c r="G408" i="2"/>
  <c r="U408" i="2" s="1"/>
  <c r="M251" i="2" l="1"/>
  <c r="V251" i="2" s="1"/>
  <c r="H408" i="2"/>
  <c r="W251" i="2" l="1"/>
  <c r="X251" i="2"/>
  <c r="N251" i="2"/>
  <c r="I408" i="2"/>
  <c r="J408" i="2" s="1"/>
  <c r="G409" i="2" s="1"/>
  <c r="U409" i="2" s="1"/>
  <c r="O251" i="2" l="1"/>
  <c r="P251" i="2" s="1"/>
  <c r="Q251" i="2" s="1"/>
  <c r="H409" i="2"/>
  <c r="I409" i="2" s="1"/>
  <c r="J409" i="2" s="1"/>
  <c r="G410" i="2" l="1"/>
  <c r="M252" i="2"/>
  <c r="V252" i="2" s="1"/>
  <c r="W252" i="2" l="1"/>
  <c r="X252" i="2"/>
  <c r="H410" i="2"/>
  <c r="I410" i="2" s="1"/>
  <c r="J410" i="2" s="1"/>
  <c r="G411" i="2" s="1"/>
  <c r="U411" i="2" s="1"/>
  <c r="U410" i="2"/>
  <c r="N252" i="2"/>
  <c r="O252" i="2" s="1"/>
  <c r="P252" i="2" s="1"/>
  <c r="Q252" i="2" s="1"/>
  <c r="M253" i="2" l="1"/>
  <c r="V253" i="2" s="1"/>
  <c r="H411" i="2"/>
  <c r="I411" i="2" s="1"/>
  <c r="J411" i="2" s="1"/>
  <c r="W253" i="2" l="1"/>
  <c r="X253" i="2"/>
  <c r="N253" i="2"/>
  <c r="O253" i="2" s="1"/>
  <c r="P253" i="2" s="1"/>
  <c r="Q253" i="2" s="1"/>
  <c r="G412" i="2"/>
  <c r="U412" i="2" s="1"/>
  <c r="M254" i="2" l="1"/>
  <c r="V254" i="2" s="1"/>
  <c r="H412" i="2"/>
  <c r="I412" i="2" s="1"/>
  <c r="J412" i="2" s="1"/>
  <c r="W254" i="2" l="1"/>
  <c r="X254" i="2"/>
  <c r="G413" i="2"/>
  <c r="U413" i="2" s="1"/>
  <c r="N254" i="2"/>
  <c r="O254" i="2" s="1"/>
  <c r="P254" i="2" s="1"/>
  <c r="Q254" i="2" s="1"/>
  <c r="H413" i="2" l="1"/>
  <c r="I413" i="2" s="1"/>
  <c r="J413" i="2" s="1"/>
  <c r="G414" i="2" s="1"/>
  <c r="U414" i="2" s="1"/>
  <c r="M255" i="2"/>
  <c r="V255" i="2" s="1"/>
  <c r="H414" i="2" l="1"/>
  <c r="I414" i="2" s="1"/>
  <c r="J414" i="2" s="1"/>
  <c r="G415" i="2" s="1"/>
  <c r="U415" i="2" s="1"/>
  <c r="W255" i="2"/>
  <c r="X255" i="2"/>
  <c r="N255" i="2"/>
  <c r="O255" i="2" l="1"/>
  <c r="P255" i="2" s="1"/>
  <c r="Q255" i="2" s="1"/>
  <c r="H415" i="2"/>
  <c r="I415" i="2" s="1"/>
  <c r="J415" i="2" s="1"/>
  <c r="M256" i="2" l="1"/>
  <c r="N256" i="2" l="1"/>
  <c r="O256" i="2" s="1"/>
  <c r="P256" i="2" s="1"/>
  <c r="Q256" i="2" s="1"/>
  <c r="V256" i="2"/>
  <c r="M257" i="2" l="1"/>
  <c r="V257" i="2" s="1"/>
  <c r="W257" i="2"/>
  <c r="X257" i="2"/>
  <c r="W256" i="2"/>
  <c r="X256" i="2"/>
  <c r="N257" i="2"/>
  <c r="O257" i="2" s="1"/>
  <c r="P257" i="2" s="1"/>
  <c r="Q257" i="2" s="1"/>
  <c r="M258" i="2" l="1"/>
  <c r="V258" i="2" s="1"/>
  <c r="W258" i="2" l="1"/>
  <c r="X258" i="2"/>
  <c r="N258" i="2"/>
  <c r="O258" i="2" s="1"/>
  <c r="P258" i="2" s="1"/>
  <c r="Q258" i="2" s="1"/>
  <c r="M259" i="2" l="1"/>
  <c r="V259" i="2" s="1"/>
  <c r="W259" i="2" l="1"/>
  <c r="X259" i="2"/>
  <c r="N259" i="2"/>
  <c r="O259" i="2" s="1"/>
  <c r="P259" i="2" s="1"/>
  <c r="Q259" i="2" s="1"/>
  <c r="M260" i="2" l="1"/>
  <c r="V260" i="2" s="1"/>
  <c r="W260" i="2" l="1"/>
  <c r="X260" i="2"/>
  <c r="N260" i="2"/>
  <c r="O260" i="2" s="1"/>
  <c r="P260" i="2" s="1"/>
  <c r="Q260" i="2" s="1"/>
  <c r="M261" i="2" l="1"/>
  <c r="V261" i="2" s="1"/>
  <c r="W261" i="2" l="1"/>
  <c r="X261" i="2"/>
  <c r="N261" i="2"/>
  <c r="O261" i="2" s="1"/>
  <c r="P261" i="2" s="1"/>
  <c r="Q261" i="2" s="1"/>
  <c r="M262" i="2" l="1"/>
  <c r="V262" i="2" s="1"/>
  <c r="W262" i="2" l="1"/>
  <c r="X262" i="2"/>
  <c r="N262" i="2"/>
  <c r="O262" i="2" s="1"/>
  <c r="P262" i="2" s="1"/>
  <c r="Q262" i="2" s="1"/>
  <c r="M263" i="2" l="1"/>
  <c r="V263" i="2" s="1"/>
  <c r="W263" i="2" l="1"/>
  <c r="X263" i="2"/>
  <c r="N263" i="2"/>
  <c r="O263" i="2" l="1"/>
  <c r="P263" i="2" s="1"/>
  <c r="Q263" i="2" s="1"/>
  <c r="M264" i="2" l="1"/>
  <c r="V264" i="2" s="1"/>
  <c r="W264" i="2" l="1"/>
  <c r="X264" i="2"/>
  <c r="N264" i="2"/>
  <c r="O264" i="2" s="1"/>
  <c r="P264" i="2" s="1"/>
  <c r="Q264" i="2" s="1"/>
  <c r="M265" i="2" l="1"/>
  <c r="V265" i="2" s="1"/>
  <c r="W265" i="2" l="1"/>
  <c r="X265" i="2"/>
  <c r="N265" i="2"/>
  <c r="O265" i="2" l="1"/>
  <c r="P265" i="2" s="1"/>
  <c r="Q265" i="2" s="1"/>
  <c r="M266" i="2" l="1"/>
  <c r="V266" i="2" s="1"/>
  <c r="W266" i="2" l="1"/>
  <c r="X266" i="2"/>
  <c r="N266" i="2"/>
  <c r="O266" i="2" s="1"/>
  <c r="P266" i="2" s="1"/>
  <c r="Q266" i="2" s="1"/>
  <c r="M267" i="2" l="1"/>
  <c r="V267" i="2" s="1"/>
  <c r="W267" i="2" l="1"/>
  <c r="X267" i="2"/>
  <c r="N267" i="2"/>
  <c r="O267" i="2" l="1"/>
  <c r="P267" i="2" s="1"/>
  <c r="Q267" i="2" s="1"/>
  <c r="M268" i="2" l="1"/>
  <c r="V268" i="2" s="1"/>
  <c r="W268" i="2" l="1"/>
  <c r="X268" i="2"/>
  <c r="N268" i="2"/>
  <c r="O268" i="2" s="1"/>
  <c r="P268" i="2" s="1"/>
  <c r="Q268" i="2" s="1"/>
  <c r="M269" i="2" l="1"/>
  <c r="V269" i="2" s="1"/>
  <c r="W269" i="2" l="1"/>
  <c r="X269" i="2"/>
  <c r="N269" i="2"/>
  <c r="O269" i="2" s="1"/>
  <c r="P269" i="2" l="1"/>
  <c r="Q269" i="2" s="1"/>
  <c r="M270" i="2" s="1"/>
  <c r="V270" i="2" s="1"/>
  <c r="W270" i="2" l="1"/>
  <c r="X270" i="2"/>
  <c r="N270" i="2"/>
  <c r="O270" i="2" s="1"/>
  <c r="P270" i="2" s="1"/>
  <c r="Q270" i="2" s="1"/>
  <c r="M271" i="2" l="1"/>
  <c r="V271" i="2" s="1"/>
  <c r="W271" i="2" l="1"/>
  <c r="X271" i="2"/>
  <c r="N271" i="2"/>
  <c r="O271" i="2" s="1"/>
  <c r="P271" i="2" l="1"/>
  <c r="Q271" i="2" s="1"/>
  <c r="M272" i="2" s="1"/>
  <c r="V272" i="2" s="1"/>
  <c r="W272" i="2" l="1"/>
  <c r="X272" i="2"/>
  <c r="N272" i="2"/>
  <c r="O272" i="2" s="1"/>
  <c r="P272" i="2" s="1"/>
  <c r="Q272" i="2" s="1"/>
  <c r="M273" i="2" l="1"/>
  <c r="V273" i="2" s="1"/>
  <c r="W273" i="2" l="1"/>
  <c r="X273" i="2"/>
  <c r="N273" i="2"/>
  <c r="O273" i="2" s="1"/>
  <c r="P273" i="2" s="1"/>
  <c r="Q273" i="2" s="1"/>
  <c r="M274" i="2" l="1"/>
  <c r="V274" i="2" s="1"/>
  <c r="W274" i="2" l="1"/>
  <c r="X274" i="2"/>
  <c r="N274" i="2"/>
  <c r="O274" i="2" s="1"/>
  <c r="P274" i="2" s="1"/>
  <c r="Q274" i="2" s="1"/>
  <c r="M275" i="2" l="1"/>
  <c r="V275" i="2" s="1"/>
  <c r="W275" i="2" l="1"/>
  <c r="X275" i="2"/>
  <c r="N275" i="2"/>
  <c r="O275" i="2" s="1"/>
  <c r="P275" i="2" l="1"/>
  <c r="Q275" i="2" s="1"/>
  <c r="M276" i="2" s="1"/>
  <c r="V276" i="2" s="1"/>
  <c r="W276" i="2" l="1"/>
  <c r="X276" i="2"/>
  <c r="N276" i="2"/>
  <c r="O276" i="2" s="1"/>
  <c r="P276" i="2" s="1"/>
  <c r="Q276" i="2" s="1"/>
  <c r="M277" i="2" l="1"/>
  <c r="V277" i="2" s="1"/>
  <c r="W277" i="2" l="1"/>
  <c r="X277" i="2"/>
  <c r="N277" i="2"/>
  <c r="O277" i="2" s="1"/>
  <c r="P277" i="2" s="1"/>
  <c r="Q277" i="2" s="1"/>
  <c r="M278" i="2" l="1"/>
  <c r="V278" i="2" s="1"/>
  <c r="W278" i="2" l="1"/>
  <c r="X278" i="2"/>
  <c r="N278" i="2"/>
  <c r="O278" i="2" s="1"/>
  <c r="P278" i="2" s="1"/>
  <c r="Q278" i="2" s="1"/>
  <c r="M279" i="2" l="1"/>
  <c r="V279" i="2" s="1"/>
  <c r="W279" i="2" l="1"/>
  <c r="X279" i="2"/>
  <c r="N279" i="2"/>
  <c r="O279" i="2" s="1"/>
  <c r="P279" i="2" s="1"/>
  <c r="Q279" i="2" s="1"/>
  <c r="M280" i="2" l="1"/>
  <c r="V280" i="2" s="1"/>
  <c r="W280" i="2" l="1"/>
  <c r="X280" i="2"/>
  <c r="N280" i="2"/>
  <c r="O280" i="2" s="1"/>
  <c r="P280" i="2" l="1"/>
  <c r="Q280" i="2" s="1"/>
  <c r="M281" i="2" l="1"/>
  <c r="V281" i="2" s="1"/>
  <c r="W281" i="2" l="1"/>
  <c r="X281" i="2"/>
  <c r="N281" i="2"/>
  <c r="O281" i="2" s="1"/>
  <c r="P281" i="2" l="1"/>
  <c r="Q281" i="2" s="1"/>
  <c r="M282" i="2" l="1"/>
  <c r="V282" i="2" s="1"/>
  <c r="W282" i="2" l="1"/>
  <c r="X282" i="2"/>
  <c r="N282" i="2"/>
  <c r="O282" i="2" s="1"/>
  <c r="P282" i="2" s="1"/>
  <c r="Q282" i="2" s="1"/>
  <c r="M283" i="2" l="1"/>
  <c r="V283" i="2" s="1"/>
  <c r="W283" i="2" l="1"/>
  <c r="X283" i="2"/>
  <c r="N283" i="2"/>
  <c r="O283" i="2" s="1"/>
  <c r="P283" i="2" l="1"/>
  <c r="Q283" i="2" s="1"/>
  <c r="M284" i="2"/>
  <c r="V284" i="2" s="1"/>
  <c r="W284" i="2" l="1"/>
  <c r="X284" i="2"/>
  <c r="N284" i="2"/>
  <c r="O284" i="2" s="1"/>
  <c r="P284" i="2" l="1"/>
  <c r="Q284" i="2" s="1"/>
  <c r="M285" i="2" l="1"/>
  <c r="V285" i="2" s="1"/>
  <c r="W285" i="2" l="1"/>
  <c r="X285" i="2"/>
  <c r="N285" i="2"/>
  <c r="O285" i="2" s="1"/>
  <c r="P285" i="2" s="1"/>
  <c r="Q285" i="2" s="1"/>
  <c r="M286" i="2" l="1"/>
  <c r="V286" i="2" s="1"/>
  <c r="W286" i="2" l="1"/>
  <c r="X286" i="2"/>
  <c r="N286" i="2"/>
  <c r="O286" i="2" s="1"/>
  <c r="P286" i="2" s="1"/>
  <c r="Q286" i="2" s="1"/>
  <c r="M287" i="2" l="1"/>
  <c r="V287" i="2" s="1"/>
  <c r="W287" i="2" l="1"/>
  <c r="X287" i="2"/>
  <c r="N287" i="2"/>
  <c r="O287" i="2" s="1"/>
  <c r="P287" i="2" l="1"/>
  <c r="Q287" i="2" s="1"/>
  <c r="M288" i="2" s="1"/>
  <c r="V288" i="2" s="1"/>
  <c r="W288" i="2" l="1"/>
  <c r="X288" i="2"/>
  <c r="N288" i="2"/>
  <c r="O288" i="2" s="1"/>
  <c r="P288" i="2" s="1"/>
  <c r="Q288" i="2" s="1"/>
  <c r="M289" i="2" l="1"/>
  <c r="V289" i="2" s="1"/>
  <c r="W289" i="2" l="1"/>
  <c r="X289" i="2"/>
  <c r="N289" i="2"/>
  <c r="O289" i="2" s="1"/>
  <c r="P289" i="2" l="1"/>
  <c r="Q289" i="2" s="1"/>
  <c r="M290" i="2" s="1"/>
  <c r="V290" i="2" s="1"/>
  <c r="W290" i="2" l="1"/>
  <c r="X290" i="2"/>
  <c r="N290" i="2"/>
  <c r="O290" i="2" s="1"/>
  <c r="P290" i="2" s="1"/>
  <c r="Q290" i="2" s="1"/>
  <c r="M291" i="2" l="1"/>
  <c r="V291" i="2" s="1"/>
  <c r="W291" i="2" l="1"/>
  <c r="X291" i="2"/>
  <c r="N291" i="2"/>
  <c r="O291" i="2" s="1"/>
  <c r="P291" i="2" s="1"/>
  <c r="Q291" i="2" s="1"/>
  <c r="M292" i="2" l="1"/>
  <c r="V292" i="2" s="1"/>
  <c r="W292" i="2" l="1"/>
  <c r="X292" i="2"/>
  <c r="N292" i="2"/>
  <c r="O292" i="2" s="1"/>
  <c r="P292" i="2" s="1"/>
  <c r="Q292" i="2" s="1"/>
  <c r="M293" i="2" l="1"/>
  <c r="V293" i="2" s="1"/>
  <c r="W293" i="2" l="1"/>
  <c r="X293" i="2"/>
  <c r="N293" i="2"/>
  <c r="O293" i="2" s="1"/>
  <c r="P293" i="2" l="1"/>
  <c r="Q293" i="2" s="1"/>
  <c r="M294" i="2" s="1"/>
  <c r="V294" i="2" s="1"/>
  <c r="W294" i="2" l="1"/>
  <c r="X294" i="2"/>
  <c r="N294" i="2"/>
  <c r="O294" i="2" s="1"/>
  <c r="P294" i="2" s="1"/>
  <c r="Q294" i="2" s="1"/>
  <c r="M295" i="2" l="1"/>
  <c r="V295" i="2" s="1"/>
  <c r="W295" i="2" l="1"/>
  <c r="X295" i="2"/>
  <c r="N295" i="2"/>
  <c r="O295" i="2" s="1"/>
  <c r="P295" i="2" s="1"/>
  <c r="Q295" i="2" s="1"/>
  <c r="M296" i="2" l="1"/>
  <c r="V296" i="2" s="1"/>
  <c r="W296" i="2" l="1"/>
  <c r="X296" i="2"/>
  <c r="N296" i="2"/>
  <c r="O296" i="2" s="1"/>
  <c r="P296" i="2" s="1"/>
  <c r="Q296" i="2" s="1"/>
  <c r="M297" i="2" l="1"/>
  <c r="V297" i="2" s="1"/>
  <c r="W297" i="2" l="1"/>
  <c r="X297" i="2"/>
  <c r="N297" i="2"/>
  <c r="O297" i="2" s="1"/>
  <c r="P297" i="2" s="1"/>
  <c r="Q297" i="2" s="1"/>
  <c r="M298" i="2" l="1"/>
  <c r="V298" i="2" s="1"/>
  <c r="W298" i="2" l="1"/>
  <c r="X298" i="2"/>
  <c r="N298" i="2"/>
  <c r="O298" i="2" s="1"/>
  <c r="P298" i="2" s="1"/>
  <c r="Q298" i="2" s="1"/>
  <c r="M299" i="2" l="1"/>
  <c r="V299" i="2" s="1"/>
  <c r="W299" i="2" l="1"/>
  <c r="X299" i="2"/>
  <c r="N299" i="2"/>
  <c r="O299" i="2" s="1"/>
  <c r="P299" i="2" l="1"/>
  <c r="Q299" i="2" s="1"/>
  <c r="M300" i="2" l="1"/>
  <c r="V300" i="2" s="1"/>
  <c r="W300" i="2" l="1"/>
  <c r="X300" i="2"/>
  <c r="N300" i="2"/>
  <c r="O300" i="2" s="1"/>
  <c r="P300" i="2" s="1"/>
  <c r="Q300" i="2" s="1"/>
  <c r="M301" i="2" l="1"/>
  <c r="V301" i="2" s="1"/>
  <c r="W301" i="2" l="1"/>
  <c r="X301" i="2"/>
  <c r="N301" i="2"/>
  <c r="O301" i="2" s="1"/>
  <c r="P301" i="2" s="1"/>
  <c r="Q301" i="2" s="1"/>
  <c r="M302" i="2" l="1"/>
  <c r="V302" i="2" s="1"/>
  <c r="W302" i="2" l="1"/>
  <c r="X302" i="2"/>
  <c r="N302" i="2"/>
  <c r="O302" i="2" s="1"/>
  <c r="P302" i="2" s="1"/>
  <c r="Q302" i="2" s="1"/>
  <c r="M303" i="2" l="1"/>
  <c r="V303" i="2" s="1"/>
  <c r="W303" i="2" l="1"/>
  <c r="X303" i="2"/>
  <c r="N303" i="2"/>
  <c r="O303" i="2" s="1"/>
  <c r="P303" i="2" s="1"/>
  <c r="Q303" i="2" s="1"/>
  <c r="M304" i="2" l="1"/>
  <c r="V304" i="2" s="1"/>
  <c r="W304" i="2" l="1"/>
  <c r="X304" i="2"/>
  <c r="N304" i="2"/>
  <c r="O304" i="2" s="1"/>
  <c r="P304" i="2" s="1"/>
  <c r="Q304" i="2" s="1"/>
  <c r="M305" i="2" l="1"/>
  <c r="V305" i="2" s="1"/>
  <c r="W305" i="2" l="1"/>
  <c r="X305" i="2"/>
  <c r="N305" i="2"/>
  <c r="O305" i="2" s="1"/>
  <c r="P305" i="2" l="1"/>
  <c r="Q305" i="2" s="1"/>
  <c r="M306" i="2" s="1"/>
  <c r="V306" i="2" s="1"/>
  <c r="W306" i="2" l="1"/>
  <c r="X306" i="2"/>
  <c r="N306" i="2"/>
  <c r="O306" i="2" s="1"/>
  <c r="P306" i="2" l="1"/>
  <c r="Q306" i="2" s="1"/>
  <c r="M307" i="2" l="1"/>
  <c r="V307" i="2" s="1"/>
  <c r="W307" i="2" l="1"/>
  <c r="X307" i="2"/>
  <c r="N307" i="2"/>
  <c r="O307" i="2" s="1"/>
  <c r="P307" i="2" l="1"/>
  <c r="Q307" i="2" s="1"/>
  <c r="M308" i="2" l="1"/>
  <c r="V308" i="2" s="1"/>
  <c r="W308" i="2" l="1"/>
  <c r="X308" i="2"/>
  <c r="N308" i="2"/>
  <c r="O308" i="2" l="1"/>
  <c r="P308" i="2" s="1"/>
  <c r="Q308" i="2" s="1"/>
  <c r="M309" i="2" l="1"/>
  <c r="V309" i="2" s="1"/>
  <c r="W309" i="2" l="1"/>
  <c r="X309" i="2"/>
  <c r="N309" i="2"/>
  <c r="O309" i="2" s="1"/>
  <c r="P309" i="2" l="1"/>
  <c r="Q309" i="2" s="1"/>
  <c r="M310" i="2" l="1"/>
  <c r="V310" i="2" s="1"/>
  <c r="W310" i="2" l="1"/>
  <c r="X310" i="2"/>
  <c r="N310" i="2"/>
  <c r="O310" i="2" s="1"/>
  <c r="P310" i="2" s="1"/>
  <c r="Q310" i="2" s="1"/>
  <c r="M311" i="2" l="1"/>
  <c r="V311" i="2" s="1"/>
  <c r="W311" i="2" l="1"/>
  <c r="X311" i="2"/>
  <c r="N311" i="2"/>
  <c r="O311" i="2" s="1"/>
  <c r="P311" i="2" l="1"/>
  <c r="Q311" i="2" s="1"/>
  <c r="M312" i="2" l="1"/>
  <c r="V312" i="2" s="1"/>
  <c r="W312" i="2" l="1"/>
  <c r="X312" i="2"/>
  <c r="N312" i="2"/>
  <c r="O312" i="2" l="1"/>
  <c r="P312" i="2" s="1"/>
  <c r="Q312" i="2" s="1"/>
  <c r="M313" i="2" l="1"/>
  <c r="V313" i="2" s="1"/>
  <c r="W313" i="2" l="1"/>
  <c r="X313" i="2"/>
  <c r="N313" i="2"/>
  <c r="O313" i="2" s="1"/>
  <c r="P313" i="2" l="1"/>
  <c r="Q313" i="2" s="1"/>
  <c r="M314" i="2" l="1"/>
  <c r="V314" i="2" s="1"/>
  <c r="W314" i="2" l="1"/>
  <c r="X314" i="2"/>
  <c r="N314" i="2"/>
  <c r="O314" i="2" s="1"/>
  <c r="P314" i="2" s="1"/>
  <c r="Q314" i="2" s="1"/>
  <c r="M315" i="2" l="1"/>
  <c r="V315" i="2" s="1"/>
  <c r="W315" i="2" l="1"/>
  <c r="X315" i="2"/>
  <c r="N315" i="2"/>
  <c r="O315" i="2" s="1"/>
  <c r="P315" i="2" l="1"/>
  <c r="Q315" i="2" s="1"/>
  <c r="M316" i="2" l="1"/>
  <c r="V316" i="2" s="1"/>
  <c r="W316" i="2" l="1"/>
  <c r="X316" i="2"/>
  <c r="N316" i="2"/>
  <c r="O316" i="2" l="1"/>
  <c r="P316" i="2" s="1"/>
  <c r="Q316" i="2" s="1"/>
  <c r="M317" i="2" l="1"/>
  <c r="V317" i="2" s="1"/>
  <c r="W317" i="2" l="1"/>
  <c r="X317" i="2"/>
  <c r="N317" i="2"/>
  <c r="O317" i="2" s="1"/>
  <c r="P317" i="2" l="1"/>
  <c r="Q317" i="2" s="1"/>
  <c r="M318" i="2" s="1"/>
  <c r="V318" i="2" s="1"/>
  <c r="W318" i="2" l="1"/>
  <c r="X318" i="2"/>
  <c r="N318" i="2"/>
  <c r="O318" i="2" s="1"/>
  <c r="P318" i="2" s="1"/>
  <c r="Q318" i="2" s="1"/>
  <c r="M319" i="2" l="1"/>
  <c r="V319" i="2" s="1"/>
  <c r="W319" i="2" l="1"/>
  <c r="X319" i="2"/>
  <c r="N319" i="2"/>
  <c r="O319" i="2" s="1"/>
  <c r="P319" i="2" l="1"/>
  <c r="Q319" i="2" s="1"/>
  <c r="M320" i="2" l="1"/>
  <c r="V320" i="2" s="1"/>
  <c r="W320" i="2" l="1"/>
  <c r="X320" i="2"/>
  <c r="N320" i="2"/>
  <c r="O320" i="2" s="1"/>
  <c r="P320" i="2" l="1"/>
  <c r="Q320" i="2" s="1"/>
  <c r="M321" i="2" l="1"/>
  <c r="V321" i="2" s="1"/>
  <c r="W321" i="2" l="1"/>
  <c r="X321" i="2"/>
  <c r="N321" i="2"/>
  <c r="O321" i="2" s="1"/>
  <c r="P321" i="2" s="1"/>
  <c r="Q321" i="2" l="1"/>
  <c r="M322" i="2" s="1"/>
  <c r="V322" i="2" s="1"/>
  <c r="W322" i="2" l="1"/>
  <c r="X322" i="2"/>
  <c r="N322" i="2"/>
  <c r="O322" i="2" s="1"/>
  <c r="P322" i="2" s="1"/>
  <c r="Q322" i="2" s="1"/>
  <c r="M323" i="2" l="1"/>
  <c r="V323" i="2" s="1"/>
  <c r="W323" i="2" l="1"/>
  <c r="X323" i="2"/>
  <c r="N323" i="2"/>
  <c r="O323" i="2" s="1"/>
  <c r="P323" i="2" s="1"/>
  <c r="Q323" i="2" s="1"/>
  <c r="M324" i="2" l="1"/>
  <c r="V324" i="2" s="1"/>
  <c r="W324" i="2" l="1"/>
  <c r="X324" i="2"/>
  <c r="N324" i="2"/>
  <c r="O324" i="2" s="1"/>
  <c r="P324" i="2" l="1"/>
  <c r="Q324" i="2" s="1"/>
  <c r="M325" i="2" s="1"/>
  <c r="V325" i="2" s="1"/>
  <c r="W325" i="2" l="1"/>
  <c r="X325" i="2"/>
  <c r="N325" i="2"/>
  <c r="O325" i="2" s="1"/>
  <c r="P325" i="2" s="1"/>
  <c r="Q325" i="2" s="1"/>
  <c r="M326" i="2" l="1"/>
  <c r="V326" i="2" s="1"/>
  <c r="W326" i="2" l="1"/>
  <c r="X326" i="2"/>
  <c r="N326" i="2"/>
  <c r="O326" i="2" s="1"/>
  <c r="P326" i="2" s="1"/>
  <c r="Q326" i="2" s="1"/>
  <c r="M327" i="2" l="1"/>
  <c r="V327" i="2" s="1"/>
  <c r="W327" i="2" l="1"/>
  <c r="X327" i="2"/>
  <c r="N327" i="2"/>
  <c r="O327" i="2" s="1"/>
  <c r="P327" i="2" s="1"/>
  <c r="Q327" i="2" s="1"/>
  <c r="M328" i="2" l="1"/>
  <c r="V328" i="2" s="1"/>
  <c r="W328" i="2" l="1"/>
  <c r="X328" i="2"/>
  <c r="N328" i="2"/>
  <c r="O328" i="2" s="1"/>
  <c r="P328" i="2" l="1"/>
  <c r="Q328" i="2" s="1"/>
  <c r="M329" i="2" s="1"/>
  <c r="V329" i="2" s="1"/>
  <c r="W329" i="2" l="1"/>
  <c r="X329" i="2"/>
  <c r="N329" i="2"/>
  <c r="O329" i="2" s="1"/>
  <c r="P329" i="2" s="1"/>
  <c r="Q329" i="2" s="1"/>
  <c r="M330" i="2" l="1"/>
  <c r="V330" i="2" s="1"/>
  <c r="W330" i="2" l="1"/>
  <c r="X330" i="2"/>
  <c r="N330" i="2"/>
  <c r="O330" i="2" l="1"/>
  <c r="P330" i="2" s="1"/>
  <c r="Q330" i="2" s="1"/>
  <c r="M331" i="2" l="1"/>
  <c r="V331" i="2" s="1"/>
  <c r="W331" i="2" l="1"/>
  <c r="X331" i="2"/>
  <c r="N331" i="2"/>
  <c r="O331" i="2" s="1"/>
  <c r="P331" i="2" s="1"/>
  <c r="Q331" i="2" s="1"/>
  <c r="M332" i="2" l="1"/>
  <c r="V332" i="2" s="1"/>
  <c r="W332" i="2" l="1"/>
  <c r="X332" i="2"/>
  <c r="N332" i="2"/>
  <c r="O332" i="2" l="1"/>
  <c r="P332" i="2" s="1"/>
  <c r="Q332" i="2" s="1"/>
  <c r="M333" i="2" l="1"/>
  <c r="V333" i="2" s="1"/>
  <c r="W333" i="2" l="1"/>
  <c r="X333" i="2"/>
  <c r="N333" i="2"/>
  <c r="O333" i="2" s="1"/>
  <c r="P333" i="2" s="1"/>
  <c r="Q333" i="2" s="1"/>
  <c r="M334" i="2" l="1"/>
  <c r="V334" i="2" s="1"/>
  <c r="W334" i="2" l="1"/>
  <c r="X334" i="2"/>
  <c r="N334" i="2"/>
  <c r="O334" i="2" s="1"/>
  <c r="P334" i="2" l="1"/>
  <c r="Q334" i="2" s="1"/>
  <c r="M335" i="2" s="1"/>
  <c r="V335" i="2" s="1"/>
  <c r="W335" i="2" l="1"/>
  <c r="X335" i="2"/>
  <c r="N335" i="2"/>
  <c r="O335" i="2" s="1"/>
  <c r="P335" i="2" s="1"/>
  <c r="Q335" i="2" s="1"/>
  <c r="M336" i="2" l="1"/>
  <c r="V336" i="2" s="1"/>
  <c r="W336" i="2" l="1"/>
  <c r="X336" i="2"/>
  <c r="N336" i="2"/>
  <c r="O336" i="2" s="1"/>
  <c r="P336" i="2" s="1"/>
  <c r="Q336" i="2" s="1"/>
  <c r="M337" i="2" l="1"/>
  <c r="V337" i="2" s="1"/>
  <c r="W337" i="2" l="1"/>
  <c r="X337" i="2"/>
  <c r="N337" i="2"/>
  <c r="O337" i="2" s="1"/>
  <c r="P337" i="2" s="1"/>
  <c r="Q337" i="2" s="1"/>
  <c r="M338" i="2" l="1"/>
  <c r="V338" i="2" s="1"/>
  <c r="W338" i="2" l="1"/>
  <c r="X338" i="2"/>
  <c r="N338" i="2"/>
  <c r="O338" i="2" l="1"/>
  <c r="P338" i="2" s="1"/>
  <c r="Q338" i="2" s="1"/>
  <c r="M339" i="2" l="1"/>
  <c r="V339" i="2" s="1"/>
  <c r="W339" i="2" l="1"/>
  <c r="X339" i="2"/>
  <c r="N339" i="2"/>
  <c r="O339" i="2" s="1"/>
  <c r="P339" i="2" s="1"/>
  <c r="Q339" i="2" s="1"/>
  <c r="M340" i="2" l="1"/>
  <c r="V340" i="2" s="1"/>
  <c r="W340" i="2" l="1"/>
  <c r="X340" i="2"/>
  <c r="N340" i="2"/>
  <c r="O340" i="2" l="1"/>
  <c r="P340" i="2" s="1"/>
  <c r="Q340" i="2" s="1"/>
  <c r="M341" i="2" l="1"/>
  <c r="V341" i="2" s="1"/>
  <c r="W341" i="2" l="1"/>
  <c r="X341" i="2"/>
  <c r="N341" i="2"/>
  <c r="O341" i="2" s="1"/>
  <c r="P341" i="2" s="1"/>
  <c r="Q341" i="2" s="1"/>
  <c r="M342" i="2" l="1"/>
  <c r="V342" i="2" s="1"/>
  <c r="W342" i="2" l="1"/>
  <c r="X342" i="2"/>
  <c r="N342" i="2"/>
  <c r="O342" i="2" s="1"/>
  <c r="P342" i="2" l="1"/>
  <c r="Q342" i="2" s="1"/>
  <c r="M343" i="2" s="1"/>
  <c r="V343" i="2" s="1"/>
  <c r="W343" i="2" l="1"/>
  <c r="X343" i="2"/>
  <c r="N343" i="2"/>
  <c r="O343" i="2"/>
  <c r="P343" i="2" s="1"/>
  <c r="Q343" i="2" s="1"/>
  <c r="M344" i="2" l="1"/>
  <c r="V344" i="2" s="1"/>
  <c r="W344" i="2" l="1"/>
  <c r="X344" i="2"/>
  <c r="N344" i="2"/>
  <c r="O344" i="2" s="1"/>
  <c r="P344" i="2" s="1"/>
  <c r="Q344" i="2" s="1"/>
  <c r="M345" i="2" l="1"/>
  <c r="V345" i="2" s="1"/>
  <c r="W345" i="2" l="1"/>
  <c r="X345" i="2"/>
  <c r="N345" i="2"/>
  <c r="O345" i="2" s="1"/>
  <c r="P345" i="2" s="1"/>
  <c r="Q345" i="2" s="1"/>
  <c r="M346" i="2" l="1"/>
  <c r="V346" i="2" s="1"/>
  <c r="W346" i="2" l="1"/>
  <c r="X346" i="2"/>
  <c r="N346" i="2"/>
  <c r="O346" i="2" s="1"/>
  <c r="P346" i="2" s="1"/>
  <c r="Q346" i="2" s="1"/>
  <c r="M347" i="2" l="1"/>
  <c r="V347" i="2" s="1"/>
  <c r="W347" i="2" l="1"/>
  <c r="X347" i="2"/>
  <c r="N347" i="2"/>
  <c r="O347" i="2" s="1"/>
  <c r="P347" i="2" s="1"/>
  <c r="Q347" i="2" s="1"/>
  <c r="M348" i="2" l="1"/>
  <c r="V348" i="2" s="1"/>
  <c r="W348" i="2" l="1"/>
  <c r="X348" i="2"/>
  <c r="N348" i="2"/>
  <c r="O348" i="2" s="1"/>
  <c r="P348" i="2" s="1"/>
  <c r="Q348" i="2" s="1"/>
  <c r="M349" i="2" l="1"/>
  <c r="V349" i="2" s="1"/>
  <c r="W349" i="2" l="1"/>
  <c r="X349" i="2"/>
  <c r="N349" i="2"/>
  <c r="O349" i="2" s="1"/>
  <c r="P349" i="2" s="1"/>
  <c r="Q349" i="2" s="1"/>
  <c r="M350" i="2" l="1"/>
  <c r="V350" i="2" s="1"/>
  <c r="W350" i="2" l="1"/>
  <c r="X350" i="2"/>
  <c r="N350" i="2"/>
  <c r="O350" i="2" s="1"/>
  <c r="P350" i="2" s="1"/>
  <c r="Q350" i="2" s="1"/>
  <c r="M351" i="2" l="1"/>
  <c r="V351" i="2" s="1"/>
  <c r="W351" i="2" l="1"/>
  <c r="X351" i="2"/>
  <c r="N351" i="2"/>
  <c r="O351" i="2" s="1"/>
  <c r="P351" i="2" l="1"/>
  <c r="Q351" i="2" s="1"/>
  <c r="M352" i="2" l="1"/>
  <c r="V352" i="2" s="1"/>
  <c r="W352" i="2" l="1"/>
  <c r="X352" i="2"/>
  <c r="N352" i="2"/>
  <c r="O352" i="2" l="1"/>
  <c r="P352" i="2" s="1"/>
  <c r="Q352" i="2" s="1"/>
  <c r="M353" i="2" l="1"/>
  <c r="V353" i="2" s="1"/>
  <c r="W353" i="2" l="1"/>
  <c r="X353" i="2"/>
  <c r="N353" i="2"/>
  <c r="O353" i="2" s="1"/>
  <c r="P353" i="2" s="1"/>
  <c r="Q353" i="2" s="1"/>
  <c r="M354" i="2" l="1"/>
  <c r="V354" i="2" s="1"/>
  <c r="W354" i="2" l="1"/>
  <c r="X354" i="2"/>
  <c r="N354" i="2"/>
  <c r="O354" i="2" s="1"/>
  <c r="P354" i="2" s="1"/>
  <c r="Q354" i="2" s="1"/>
  <c r="M355" i="2" l="1"/>
  <c r="V355" i="2" s="1"/>
  <c r="W355" i="2" l="1"/>
  <c r="X355" i="2"/>
  <c r="N355" i="2"/>
  <c r="O355" i="2"/>
  <c r="P355" i="2" s="1"/>
  <c r="Q355" i="2" s="1"/>
  <c r="M356" i="2" l="1"/>
  <c r="V356" i="2" s="1"/>
  <c r="W356" i="2" l="1"/>
  <c r="X356" i="2"/>
  <c r="N356" i="2"/>
  <c r="O356" i="2" s="1"/>
  <c r="P356" i="2" s="1"/>
  <c r="Q356" i="2" s="1"/>
  <c r="M357" i="2" l="1"/>
  <c r="V357" i="2" s="1"/>
  <c r="W357" i="2" l="1"/>
  <c r="X357" i="2"/>
  <c r="N357" i="2"/>
  <c r="O357" i="2" s="1"/>
  <c r="P357" i="2" s="1"/>
  <c r="Q357" i="2" s="1"/>
  <c r="M358" i="2" l="1"/>
  <c r="V358" i="2" s="1"/>
  <c r="W358" i="2" l="1"/>
  <c r="X358" i="2"/>
  <c r="N358" i="2"/>
  <c r="O358" i="2" s="1"/>
  <c r="P358" i="2" s="1"/>
  <c r="Q358" i="2" s="1"/>
  <c r="M359" i="2" l="1"/>
  <c r="V359" i="2" s="1"/>
  <c r="W359" i="2" l="1"/>
  <c r="X359" i="2"/>
  <c r="N359" i="2"/>
  <c r="O359" i="2" s="1"/>
  <c r="P359" i="2" l="1"/>
  <c r="Q359" i="2" s="1"/>
  <c r="M360" i="2" l="1"/>
  <c r="V360" i="2" s="1"/>
  <c r="W360" i="2" l="1"/>
  <c r="X360" i="2"/>
  <c r="N360" i="2"/>
  <c r="O360" i="2" l="1"/>
  <c r="P360" i="2" s="1"/>
  <c r="Q360" i="2" s="1"/>
  <c r="M361" i="2" l="1"/>
  <c r="V361" i="2" s="1"/>
  <c r="W361" i="2" l="1"/>
  <c r="X361" i="2"/>
  <c r="N361" i="2"/>
  <c r="O361" i="2" s="1"/>
  <c r="P361" i="2" s="1"/>
  <c r="Q361" i="2" s="1"/>
  <c r="M362" i="2" l="1"/>
  <c r="V362" i="2" s="1"/>
  <c r="W362" i="2" l="1"/>
  <c r="X362" i="2"/>
  <c r="N362" i="2"/>
  <c r="O362" i="2" s="1"/>
  <c r="P362" i="2" s="1"/>
  <c r="Q362" i="2" s="1"/>
  <c r="M363" i="2" l="1"/>
  <c r="V363" i="2" s="1"/>
  <c r="W363" i="2" l="1"/>
  <c r="X363" i="2"/>
  <c r="N363" i="2"/>
  <c r="O363" i="2" s="1"/>
  <c r="P363" i="2" s="1"/>
  <c r="Q363" i="2" s="1"/>
  <c r="M364" i="2" l="1"/>
  <c r="V364" i="2" s="1"/>
  <c r="W364" i="2" l="1"/>
  <c r="X364" i="2"/>
  <c r="N364" i="2"/>
  <c r="O364" i="2" s="1"/>
  <c r="P364" i="2" s="1"/>
  <c r="Q364" i="2" s="1"/>
  <c r="M365" i="2" l="1"/>
  <c r="V365" i="2" s="1"/>
  <c r="W365" i="2" l="1"/>
  <c r="X365" i="2"/>
  <c r="N365" i="2"/>
  <c r="O365" i="2" s="1"/>
  <c r="P365" i="2" s="1"/>
  <c r="Q365" i="2" s="1"/>
  <c r="M366" i="2" l="1"/>
  <c r="V366" i="2" s="1"/>
  <c r="W366" i="2" l="1"/>
  <c r="X366" i="2"/>
  <c r="N366" i="2"/>
  <c r="O366" i="2" l="1"/>
  <c r="P366" i="2" s="1"/>
  <c r="Q366" i="2" s="1"/>
  <c r="M367" i="2" l="1"/>
  <c r="V367" i="2" s="1"/>
  <c r="W367" i="2" l="1"/>
  <c r="X367" i="2"/>
  <c r="N367" i="2"/>
  <c r="O367" i="2" s="1"/>
  <c r="P367" i="2" s="1"/>
  <c r="Q367" i="2" s="1"/>
  <c r="M368" i="2" l="1"/>
  <c r="V368" i="2" s="1"/>
  <c r="W368" i="2" l="1"/>
  <c r="X368" i="2"/>
  <c r="N368" i="2"/>
  <c r="O368" i="2" l="1"/>
  <c r="P368" i="2" s="1"/>
  <c r="Q368" i="2" s="1"/>
  <c r="M369" i="2" l="1"/>
  <c r="V369" i="2" s="1"/>
  <c r="W369" i="2" l="1"/>
  <c r="X369" i="2"/>
  <c r="N369" i="2"/>
  <c r="O369" i="2" s="1"/>
  <c r="P369" i="2" s="1"/>
  <c r="Q369" i="2" s="1"/>
  <c r="M370" i="2" l="1"/>
  <c r="V370" i="2" s="1"/>
  <c r="W370" i="2" l="1"/>
  <c r="X370" i="2"/>
  <c r="N370" i="2"/>
  <c r="O370" i="2" l="1"/>
  <c r="P370" i="2" s="1"/>
  <c r="Q370" i="2" s="1"/>
  <c r="M371" i="2" l="1"/>
  <c r="V371" i="2" s="1"/>
  <c r="W371" i="2" l="1"/>
  <c r="X371" i="2"/>
  <c r="N371" i="2"/>
  <c r="O371" i="2" s="1"/>
  <c r="P371" i="2" s="1"/>
  <c r="Q371" i="2" s="1"/>
  <c r="M372" i="2" l="1"/>
  <c r="V372" i="2" s="1"/>
  <c r="W372" i="2" l="1"/>
  <c r="X372" i="2"/>
  <c r="N372" i="2"/>
  <c r="O372" i="2" s="1"/>
  <c r="P372" i="2" l="1"/>
  <c r="Q372" i="2" s="1"/>
  <c r="M373" i="2" s="1"/>
  <c r="V373" i="2" s="1"/>
  <c r="W373" i="2" l="1"/>
  <c r="X373" i="2"/>
  <c r="N373" i="2"/>
  <c r="O373" i="2" s="1"/>
  <c r="P373" i="2" s="1"/>
  <c r="Q373" i="2" s="1"/>
  <c r="M374" i="2" l="1"/>
  <c r="V374" i="2" s="1"/>
  <c r="W374" i="2" l="1"/>
  <c r="X374" i="2"/>
  <c r="N374" i="2"/>
  <c r="O374" i="2" s="1"/>
  <c r="P374" i="2" s="1"/>
  <c r="Q374" i="2" s="1"/>
  <c r="M375" i="2" l="1"/>
  <c r="V375" i="2" s="1"/>
  <c r="W375" i="2" l="1"/>
  <c r="X375" i="2"/>
  <c r="N375" i="2"/>
  <c r="O375" i="2" s="1"/>
  <c r="P375" i="2" s="1"/>
  <c r="Q375" i="2" s="1"/>
  <c r="M376" i="2" l="1"/>
  <c r="V376" i="2" s="1"/>
  <c r="W376" i="2" l="1"/>
  <c r="X376" i="2"/>
  <c r="N376" i="2"/>
  <c r="O376" i="2" s="1"/>
  <c r="P376" i="2" s="1"/>
  <c r="Q376" i="2" s="1"/>
  <c r="M377" i="2" l="1"/>
  <c r="V377" i="2" s="1"/>
  <c r="W377" i="2" l="1"/>
  <c r="X377" i="2"/>
  <c r="N377" i="2"/>
  <c r="O377" i="2" s="1"/>
  <c r="P377" i="2" l="1"/>
  <c r="Q377" i="2" s="1"/>
  <c r="M378" i="2" l="1"/>
  <c r="V378" i="2" s="1"/>
  <c r="W378" i="2" l="1"/>
  <c r="X378" i="2"/>
  <c r="N378" i="2"/>
  <c r="O378" i="2" s="1"/>
  <c r="P378" i="2" s="1"/>
  <c r="Q378" i="2" s="1"/>
  <c r="M379" i="2" l="1"/>
  <c r="V379" i="2" s="1"/>
  <c r="W379" i="2" l="1"/>
  <c r="X379" i="2"/>
  <c r="N379" i="2"/>
  <c r="O379" i="2" s="1"/>
  <c r="P379" i="2" l="1"/>
  <c r="Q379" i="2" s="1"/>
  <c r="M380" i="2" l="1"/>
  <c r="V380" i="2" s="1"/>
  <c r="W380" i="2" l="1"/>
  <c r="X380" i="2"/>
  <c r="N380" i="2"/>
  <c r="O380" i="2" s="1"/>
  <c r="P380" i="2" s="1"/>
  <c r="Q380" i="2" s="1"/>
  <c r="M381" i="2" l="1"/>
  <c r="V381" i="2" s="1"/>
  <c r="W381" i="2" l="1"/>
  <c r="X381" i="2"/>
  <c r="N381" i="2"/>
  <c r="O381" i="2" s="1"/>
  <c r="P381" i="2" s="1"/>
  <c r="Q381" i="2" s="1"/>
  <c r="M382" i="2" l="1"/>
  <c r="V382" i="2" s="1"/>
  <c r="W382" i="2" l="1"/>
  <c r="X382" i="2"/>
  <c r="N382" i="2"/>
  <c r="O382" i="2" s="1"/>
  <c r="P382" i="2" s="1"/>
  <c r="Q382" i="2" s="1"/>
  <c r="M383" i="2" l="1"/>
  <c r="V383" i="2" s="1"/>
  <c r="W383" i="2" l="1"/>
  <c r="X383" i="2"/>
  <c r="N383" i="2"/>
  <c r="O383" i="2" s="1"/>
  <c r="P383" i="2" l="1"/>
  <c r="Q383" i="2" s="1"/>
  <c r="M384" i="2" l="1"/>
  <c r="V384" i="2" s="1"/>
  <c r="W384" i="2" l="1"/>
  <c r="X384" i="2"/>
  <c r="N384" i="2"/>
  <c r="O384" i="2" l="1"/>
  <c r="P384" i="2" s="1"/>
  <c r="Q384" i="2" s="1"/>
  <c r="M385" i="2" l="1"/>
  <c r="V385" i="2" s="1"/>
  <c r="W385" i="2" l="1"/>
  <c r="X385" i="2"/>
  <c r="N385" i="2"/>
  <c r="O385" i="2" s="1"/>
  <c r="P385" i="2" s="1"/>
  <c r="Q385" i="2" s="1"/>
  <c r="M386" i="2" l="1"/>
  <c r="V386" i="2" s="1"/>
  <c r="W386" i="2" l="1"/>
  <c r="X386" i="2"/>
  <c r="N386" i="2"/>
  <c r="O386" i="2" l="1"/>
  <c r="P386" i="2" s="1"/>
  <c r="Q386" i="2" s="1"/>
  <c r="M387" i="2" l="1"/>
  <c r="V387" i="2" s="1"/>
  <c r="W387" i="2" l="1"/>
  <c r="X387" i="2"/>
  <c r="N387" i="2"/>
  <c r="O387" i="2" s="1"/>
  <c r="P387" i="2" s="1"/>
  <c r="Q387" i="2" s="1"/>
  <c r="M388" i="2" l="1"/>
  <c r="V388" i="2" s="1"/>
  <c r="W388" i="2" l="1"/>
  <c r="X388" i="2"/>
  <c r="N388" i="2"/>
  <c r="O388" i="2" l="1"/>
  <c r="P388" i="2" s="1"/>
  <c r="Q388" i="2" s="1"/>
  <c r="M389" i="2" l="1"/>
  <c r="V389" i="2" s="1"/>
  <c r="W389" i="2" l="1"/>
  <c r="X389" i="2"/>
  <c r="N389" i="2"/>
  <c r="O389" i="2" s="1"/>
  <c r="P389" i="2" s="1"/>
  <c r="Q389" i="2" s="1"/>
  <c r="M390" i="2" l="1"/>
  <c r="V390" i="2" s="1"/>
  <c r="W390" i="2" l="1"/>
  <c r="X390" i="2"/>
  <c r="N390" i="2"/>
  <c r="O390" i="2" s="1"/>
  <c r="P390" i="2" s="1"/>
  <c r="Q390" i="2" s="1"/>
  <c r="M391" i="2" l="1"/>
  <c r="V391" i="2" s="1"/>
  <c r="W391" i="2" l="1"/>
  <c r="X391" i="2"/>
  <c r="N391" i="2"/>
  <c r="O391" i="2" s="1"/>
  <c r="P391" i="2" s="1"/>
  <c r="Q391" i="2" s="1"/>
  <c r="M392" i="2" l="1"/>
  <c r="V392" i="2" s="1"/>
  <c r="W392" i="2" l="1"/>
  <c r="X392" i="2"/>
  <c r="N392" i="2"/>
  <c r="O392" i="2" s="1"/>
  <c r="P392" i="2" s="1"/>
  <c r="Q392" i="2" s="1"/>
  <c r="M393" i="2" l="1"/>
  <c r="V393" i="2" s="1"/>
  <c r="W393" i="2" l="1"/>
  <c r="X393" i="2"/>
  <c r="N393" i="2"/>
  <c r="O393" i="2" s="1"/>
  <c r="P393" i="2" s="1"/>
  <c r="Q393" i="2" s="1"/>
  <c r="M394" i="2" l="1"/>
  <c r="V394" i="2" s="1"/>
  <c r="W394" i="2" l="1"/>
  <c r="X394" i="2"/>
  <c r="N394" i="2"/>
  <c r="O394" i="2" l="1"/>
  <c r="P394" i="2" s="1"/>
  <c r="Q394" i="2" s="1"/>
  <c r="M395" i="2" l="1"/>
  <c r="V395" i="2" s="1"/>
  <c r="W395" i="2" l="1"/>
  <c r="X395" i="2"/>
  <c r="N395" i="2"/>
  <c r="O395" i="2" s="1"/>
  <c r="P395" i="2" s="1"/>
  <c r="Q395" i="2" s="1"/>
  <c r="M396" i="2" l="1"/>
  <c r="V396" i="2" s="1"/>
  <c r="W396" i="2" l="1"/>
  <c r="X396" i="2"/>
  <c r="N396" i="2"/>
  <c r="O396" i="2" s="1"/>
  <c r="P396" i="2" s="1"/>
  <c r="Q396" i="2" s="1"/>
  <c r="M397" i="2" l="1"/>
  <c r="V397" i="2" s="1"/>
  <c r="W397" i="2" l="1"/>
  <c r="X397" i="2"/>
  <c r="N397" i="2"/>
  <c r="O397" i="2" s="1"/>
  <c r="P397" i="2" l="1"/>
  <c r="Q397" i="2" s="1"/>
  <c r="M398" i="2" l="1"/>
  <c r="V398" i="2" s="1"/>
  <c r="W398" i="2" l="1"/>
  <c r="X398" i="2"/>
  <c r="N398" i="2"/>
  <c r="O398" i="2" s="1"/>
  <c r="P398" i="2" s="1"/>
  <c r="Q398" i="2" s="1"/>
  <c r="M399" i="2" l="1"/>
  <c r="V399" i="2" s="1"/>
  <c r="W399" i="2" l="1"/>
  <c r="X399" i="2"/>
  <c r="N399" i="2"/>
  <c r="O399" i="2" s="1"/>
  <c r="P399" i="2" s="1"/>
  <c r="Q399" i="2" s="1"/>
  <c r="M400" i="2" l="1"/>
  <c r="V400" i="2" s="1"/>
  <c r="W400" i="2" l="1"/>
  <c r="X400" i="2"/>
  <c r="N400" i="2"/>
  <c r="O400" i="2" s="1"/>
  <c r="P400" i="2" s="1"/>
  <c r="Q400" i="2" s="1"/>
  <c r="M401" i="2" l="1"/>
  <c r="V401" i="2" s="1"/>
  <c r="W401" i="2" l="1"/>
  <c r="X401" i="2"/>
  <c r="N401" i="2"/>
  <c r="O401" i="2" s="1"/>
  <c r="P401" i="2" s="1"/>
  <c r="Q401" i="2" s="1"/>
  <c r="M402" i="2" l="1"/>
  <c r="V402" i="2" s="1"/>
  <c r="W402" i="2" l="1"/>
  <c r="X402" i="2"/>
  <c r="N402" i="2"/>
  <c r="O402" i="2" s="1"/>
  <c r="P402" i="2" s="1"/>
  <c r="Q402" i="2" s="1"/>
  <c r="M403" i="2" l="1"/>
  <c r="V403" i="2" s="1"/>
  <c r="W403" i="2" l="1"/>
  <c r="X403" i="2"/>
  <c r="N403" i="2"/>
  <c r="O403" i="2"/>
  <c r="P403" i="2" l="1"/>
  <c r="Q403" i="2" s="1"/>
  <c r="M404" i="2" l="1"/>
  <c r="V404" i="2" s="1"/>
  <c r="W404" i="2" l="1"/>
  <c r="X404" i="2"/>
  <c r="N404" i="2"/>
  <c r="O404" i="2" l="1"/>
  <c r="P404" i="2" s="1"/>
  <c r="Q404" i="2" s="1"/>
  <c r="M405" i="2" l="1"/>
  <c r="V405" i="2" s="1"/>
  <c r="W405" i="2" l="1"/>
  <c r="X405" i="2"/>
  <c r="N405" i="2"/>
  <c r="O405" i="2" s="1"/>
  <c r="P405" i="2" l="1"/>
  <c r="Q405" i="2" s="1"/>
  <c r="M406" i="2" l="1"/>
  <c r="V406" i="2" s="1"/>
  <c r="W406" i="2" l="1"/>
  <c r="X406" i="2"/>
  <c r="N406" i="2"/>
  <c r="O406" i="2" l="1"/>
  <c r="P406" i="2" s="1"/>
  <c r="Q406" i="2" s="1"/>
  <c r="M407" i="2" l="1"/>
  <c r="V407" i="2" s="1"/>
  <c r="W407" i="2" l="1"/>
  <c r="X407" i="2"/>
  <c r="N407" i="2"/>
  <c r="O407" i="2"/>
  <c r="P407" i="2" l="1"/>
  <c r="Q407" i="2" s="1"/>
  <c r="M408" i="2" l="1"/>
  <c r="V408" i="2" s="1"/>
  <c r="W408" i="2" l="1"/>
  <c r="X408" i="2"/>
  <c r="N408" i="2"/>
  <c r="O408" i="2" s="1"/>
  <c r="P408" i="2" s="1"/>
  <c r="Q408" i="2" s="1"/>
  <c r="M409" i="2" l="1"/>
  <c r="V409" i="2" s="1"/>
  <c r="W409" i="2" l="1"/>
  <c r="X409" i="2"/>
  <c r="N409" i="2"/>
  <c r="O409" i="2" s="1"/>
  <c r="P409" i="2" l="1"/>
  <c r="Q409" i="2" s="1"/>
  <c r="M410" i="2" l="1"/>
  <c r="V410" i="2" s="1"/>
  <c r="W410" i="2" l="1"/>
  <c r="X410" i="2"/>
  <c r="N410" i="2"/>
  <c r="O410" i="2" s="1"/>
  <c r="P410" i="2" s="1"/>
  <c r="Q410" i="2" s="1"/>
  <c r="M411" i="2" l="1"/>
  <c r="V411" i="2" s="1"/>
  <c r="W411" i="2" l="1"/>
  <c r="X411" i="2"/>
  <c r="N411" i="2"/>
  <c r="O411" i="2" s="1"/>
  <c r="P411" i="2" l="1"/>
  <c r="Q411" i="2" s="1"/>
  <c r="M412" i="2" l="1"/>
  <c r="V412" i="2" s="1"/>
  <c r="W412" i="2" l="1"/>
  <c r="X412" i="2"/>
  <c r="N412" i="2"/>
  <c r="O412" i="2" l="1"/>
  <c r="P412" i="2" s="1"/>
  <c r="Q412" i="2" s="1"/>
  <c r="M413" i="2" l="1"/>
  <c r="V413" i="2" s="1"/>
  <c r="W413" i="2" l="1"/>
  <c r="X413" i="2"/>
  <c r="N413" i="2"/>
  <c r="O413" i="2"/>
  <c r="P413" i="2" l="1"/>
  <c r="Q413" i="2" s="1"/>
  <c r="M414" i="2" l="1"/>
  <c r="V414" i="2" s="1"/>
  <c r="W414" i="2" l="1"/>
  <c r="X414" i="2"/>
  <c r="N414" i="2"/>
  <c r="O414" i="2" l="1"/>
  <c r="P414" i="2" s="1"/>
  <c r="Q414" i="2" s="1"/>
  <c r="M415" i="2" l="1"/>
  <c r="V415" i="2" s="1"/>
  <c r="W415" i="2" l="1"/>
  <c r="X415" i="2"/>
  <c r="N415" i="2"/>
  <c r="O415" i="2" s="1"/>
  <c r="P415" i="2" s="1"/>
  <c r="Q415" i="2" s="1"/>
  <c r="AA19" i="2" l="1"/>
  <c r="AA17" i="2"/>
  <c r="AA15" i="2"/>
  <c r="AA18" i="2"/>
  <c r="AA14" i="2"/>
  <c r="AA16" i="2"/>
</calcChain>
</file>

<file path=xl/sharedStrings.xml><?xml version="1.0" encoding="utf-8"?>
<sst xmlns="http://schemas.openxmlformats.org/spreadsheetml/2006/main" count="82" uniqueCount="55">
  <si>
    <t>Parámetros:</t>
  </si>
  <si>
    <t xml:space="preserve">a= </t>
  </si>
  <si>
    <t xml:space="preserve">b= </t>
  </si>
  <si>
    <t>w(0)=</t>
  </si>
  <si>
    <t>h=</t>
  </si>
  <si>
    <t>t_max=</t>
  </si>
  <si>
    <t>TIEMPO (t)</t>
  </si>
  <si>
    <t>PESO(w)</t>
  </si>
  <si>
    <t>f(t,w) = 5w^(2/3)-2w</t>
  </si>
  <si>
    <t>t</t>
  </si>
  <si>
    <t>w</t>
  </si>
  <si>
    <t>f(t,w)</t>
  </si>
  <si>
    <t>w_pred</t>
  </si>
  <si>
    <t>f(t+h, w_pred)</t>
  </si>
  <si>
    <t>w_max = (a/b)^3 =</t>
  </si>
  <si>
    <t>w_exacto</t>
  </si>
  <si>
    <t>Euler</t>
  </si>
  <si>
    <t>Heun</t>
  </si>
  <si>
    <t>w_Euler</t>
  </si>
  <si>
    <t>w_Heun</t>
  </si>
  <si>
    <t>w_Exacto</t>
  </si>
  <si>
    <t>Error_Euler</t>
  </si>
  <si>
    <t>Error_Heun</t>
  </si>
  <si>
    <t>Error máximo Euler:</t>
  </si>
  <si>
    <t>Error máximo Heun:</t>
  </si>
  <si>
    <t>Error promedio Euler:</t>
  </si>
  <si>
    <t>Error promedio Heun:</t>
  </si>
  <si>
    <t>Error en t=5 (Euler):</t>
  </si>
  <si>
    <t>Error en t=5 (Heun):</t>
  </si>
  <si>
    <t>k =</t>
  </si>
  <si>
    <t>m_max=</t>
  </si>
  <si>
    <t>m(0)=</t>
  </si>
  <si>
    <t>t_inicial=</t>
  </si>
  <si>
    <t>t_final=</t>
  </si>
  <si>
    <t>MÉTODO DE EULER</t>
  </si>
  <si>
    <t>t (días)</t>
  </si>
  <si>
    <t>m (kg)</t>
  </si>
  <si>
    <t>f(t,m) = 0.3*m^(3/4)*(1-(m/300)^(1/4))</t>
  </si>
  <si>
    <t>MÉTODO DE HEUN</t>
  </si>
  <si>
    <t>m</t>
  </si>
  <si>
    <t>f(t,m)</t>
  </si>
  <si>
    <t>m_pred</t>
  </si>
  <si>
    <t>f(t+h, m_pred)</t>
  </si>
  <si>
    <t>MÉTODO RK4 (REFERENCIA)</t>
  </si>
  <si>
    <t>m_RK4</t>
  </si>
  <si>
    <t>k1</t>
  </si>
  <si>
    <t>k2</t>
  </si>
  <si>
    <t>k3</t>
  </si>
  <si>
    <t>k4</t>
  </si>
  <si>
    <t>RK4</t>
  </si>
  <si>
    <t>Error en t=400 (Euler):</t>
  </si>
  <si>
    <t>Error en t=400 (Heun):</t>
  </si>
  <si>
    <t>Crecimiento de un pez (modelo von Bertalanffy)</t>
  </si>
  <si>
    <t xml:space="preserve"> Crecimiento de un organismo generalizado</t>
  </si>
  <si>
    <t xml:space="preserve">COMPARACIÓN DE MÉTODOS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</si>
</sst>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20"/>
      <color rgb="FFC00000"/>
      <name val="Aptos Narrow"/>
      <family val="2"/>
      <scheme val="minor"/>
    </font>
    <font>
      <b/>
      <sz val="18"/>
      <color rgb="FFC00000"/>
      <name val="Aptos Narrow"/>
      <family val="2"/>
      <scheme val="minor"/>
    </font>
    <font>
      <sz val="11"/>
      <color rgb="FF0F1115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right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3" fillId="0" borderId="0" xfId="0" applyFont="1"/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/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6" borderId="1" xfId="0" applyFill="1" applyBorder="1"/>
    <xf numFmtId="0" fontId="0" fillId="11" borderId="0" xfId="0" applyFill="1"/>
    <xf numFmtId="0" fontId="2" fillId="0" borderId="0" xfId="0" applyFont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A2CDA-E301-4F47-B4F2-6E543B58C155}">
  <dimension ref="B2:W64"/>
  <sheetViews>
    <sheetView tabSelected="1" zoomScale="32" zoomScaleNormal="32" workbookViewId="0">
      <selection activeCell="L53" sqref="L53"/>
    </sheetView>
  </sheetViews>
  <sheetFormatPr baseColWidth="10" defaultRowHeight="15" x14ac:dyDescent="0.25"/>
  <cols>
    <col min="2" max="2" width="10.5703125" customWidth="1"/>
    <col min="3" max="3" width="14.42578125" customWidth="1"/>
    <col min="4" max="4" width="18.42578125" customWidth="1"/>
    <col min="6" max="6" width="8.85546875" customWidth="1"/>
    <col min="7" max="7" width="13.5703125" customWidth="1"/>
    <col min="10" max="10" width="15" customWidth="1"/>
    <col min="12" max="12" width="20.7109375" customWidth="1"/>
    <col min="13" max="13" width="17.85546875" customWidth="1"/>
    <col min="15" max="15" width="8.140625" customWidth="1"/>
    <col min="16" max="16" width="13.28515625" customWidth="1"/>
    <col min="17" max="17" width="13.140625" customWidth="1"/>
    <col min="18" max="18" width="13.7109375" customWidth="1"/>
    <col min="19" max="20" width="13.28515625" customWidth="1"/>
    <col min="22" max="22" width="23.7109375" customWidth="1"/>
    <col min="23" max="23" width="16" customWidth="1"/>
  </cols>
  <sheetData>
    <row r="2" spans="2:23" ht="24" x14ac:dyDescent="0.4">
      <c r="B2" s="15" t="s">
        <v>52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4" spans="2:23" x14ac:dyDescent="0.25">
      <c r="B4" s="16" t="s">
        <v>34</v>
      </c>
      <c r="C4" s="16"/>
      <c r="D4" s="16"/>
      <c r="F4" s="17" t="s">
        <v>38</v>
      </c>
      <c r="G4" s="17"/>
      <c r="H4" s="17"/>
      <c r="I4" s="17"/>
      <c r="J4" s="17"/>
      <c r="L4" s="5" t="s">
        <v>43</v>
      </c>
      <c r="M4" s="5"/>
    </row>
    <row r="6" spans="2:23" x14ac:dyDescent="0.25">
      <c r="B6" s="4" t="s">
        <v>0</v>
      </c>
      <c r="F6" t="s">
        <v>0</v>
      </c>
      <c r="L6" t="s">
        <v>0</v>
      </c>
    </row>
    <row r="7" spans="2:23" x14ac:dyDescent="0.25">
      <c r="B7" s="1" t="s">
        <v>1</v>
      </c>
      <c r="C7">
        <v>5</v>
      </c>
      <c r="D7" s="1"/>
      <c r="F7" s="1" t="s">
        <v>1</v>
      </c>
      <c r="G7">
        <v>5</v>
      </c>
      <c r="L7" s="1" t="s">
        <v>1</v>
      </c>
      <c r="M7">
        <v>5</v>
      </c>
    </row>
    <row r="8" spans="2:23" x14ac:dyDescent="0.25">
      <c r="B8" s="1" t="s">
        <v>2</v>
      </c>
      <c r="C8">
        <v>2</v>
      </c>
      <c r="F8" s="1" t="s">
        <v>2</v>
      </c>
      <c r="G8">
        <v>2</v>
      </c>
      <c r="L8" s="1" t="s">
        <v>2</v>
      </c>
      <c r="M8">
        <v>2</v>
      </c>
    </row>
    <row r="9" spans="2:23" x14ac:dyDescent="0.25">
      <c r="B9" s="1" t="s">
        <v>3</v>
      </c>
      <c r="C9">
        <v>0.5</v>
      </c>
      <c r="F9" s="1" t="s">
        <v>3</v>
      </c>
      <c r="G9">
        <v>0.5</v>
      </c>
      <c r="L9" s="1" t="s">
        <v>3</v>
      </c>
      <c r="M9">
        <v>0.5</v>
      </c>
    </row>
    <row r="10" spans="2:23" x14ac:dyDescent="0.25">
      <c r="B10" s="1" t="s">
        <v>4</v>
      </c>
      <c r="C10">
        <v>0.1</v>
      </c>
      <c r="F10" s="1" t="s">
        <v>4</v>
      </c>
      <c r="G10">
        <v>0.1</v>
      </c>
      <c r="L10" s="1" t="s">
        <v>14</v>
      </c>
      <c r="M10">
        <v>15.625</v>
      </c>
      <c r="O10" s="18" t="s">
        <v>54</v>
      </c>
      <c r="P10" s="18"/>
      <c r="Q10" s="18"/>
      <c r="R10" s="18"/>
      <c r="S10" s="18"/>
      <c r="T10" s="18"/>
    </row>
    <row r="11" spans="2:23" x14ac:dyDescent="0.25">
      <c r="B11" s="1" t="s">
        <v>5</v>
      </c>
      <c r="C11">
        <v>5</v>
      </c>
      <c r="F11" s="1" t="s">
        <v>5</v>
      </c>
      <c r="G11">
        <v>5</v>
      </c>
    </row>
    <row r="12" spans="2:23" x14ac:dyDescent="0.25">
      <c r="L12" s="6" t="s">
        <v>9</v>
      </c>
      <c r="M12" s="6" t="s">
        <v>15</v>
      </c>
      <c r="O12" s="7" t="s">
        <v>9</v>
      </c>
      <c r="P12" s="7" t="s">
        <v>18</v>
      </c>
      <c r="Q12" s="7" t="s">
        <v>19</v>
      </c>
      <c r="R12" s="7" t="s">
        <v>20</v>
      </c>
      <c r="S12" s="7" t="s">
        <v>21</v>
      </c>
      <c r="T12" s="7" t="s">
        <v>22</v>
      </c>
    </row>
    <row r="13" spans="2:23" x14ac:dyDescent="0.25">
      <c r="B13" s="2" t="s">
        <v>6</v>
      </c>
      <c r="C13" s="2" t="s">
        <v>7</v>
      </c>
      <c r="D13" s="2" t="s">
        <v>8</v>
      </c>
      <c r="F13" s="3" t="s">
        <v>9</v>
      </c>
      <c r="G13" s="3" t="s">
        <v>10</v>
      </c>
      <c r="H13" s="3" t="s">
        <v>11</v>
      </c>
      <c r="I13" s="3" t="s">
        <v>12</v>
      </c>
      <c r="J13" s="3" t="s">
        <v>13</v>
      </c>
      <c r="L13">
        <v>0</v>
      </c>
      <c r="M13">
        <v>0.49999999999999989</v>
      </c>
      <c r="O13">
        <v>0</v>
      </c>
      <c r="P13">
        <f t="shared" ref="P13:P44" si="0">C14</f>
        <v>0.5</v>
      </c>
      <c r="Q13">
        <f t="shared" ref="Q13:Q44" si="1">G14</f>
        <v>0.5</v>
      </c>
      <c r="R13">
        <f>0.5</f>
        <v>0.5</v>
      </c>
      <c r="S13">
        <f>ABS(P13-R13)</f>
        <v>0</v>
      </c>
      <c r="T13">
        <f>ABS(Q13-R13)</f>
        <v>0</v>
      </c>
      <c r="V13" s="8" t="s">
        <v>23</v>
      </c>
      <c r="W13" s="8">
        <f>MAX(S13:S63)</f>
        <v>0.1818479823380903</v>
      </c>
    </row>
    <row r="14" spans="2:23" x14ac:dyDescent="0.25">
      <c r="B14">
        <v>0</v>
      </c>
      <c r="C14">
        <v>0.5</v>
      </c>
      <c r="D14">
        <f>5*(C14^(2/3))-2*C14</f>
        <v>2.1498026247371831</v>
      </c>
      <c r="F14">
        <v>0</v>
      </c>
      <c r="G14">
        <v>0.5</v>
      </c>
      <c r="H14">
        <v>2.1498026247371831</v>
      </c>
      <c r="I14">
        <v>0.71498026247371826</v>
      </c>
      <c r="J14">
        <v>2.567946650387122</v>
      </c>
      <c r="L14">
        <v>0.1</v>
      </c>
      <c r="M14">
        <v>0.73813808265171388</v>
      </c>
      <c r="O14">
        <f>O13+0.1</f>
        <v>0.1</v>
      </c>
      <c r="P14">
        <f t="shared" si="0"/>
        <v>0.71498026247371826</v>
      </c>
      <c r="Q14">
        <f t="shared" si="1"/>
        <v>0.73588746375621528</v>
      </c>
      <c r="R14">
        <f t="shared" ref="R14:R45" si="2">M14</f>
        <v>0.73813808265171388</v>
      </c>
      <c r="S14">
        <f>ABS(P14-R14)</f>
        <v>2.3157820177995614E-2</v>
      </c>
      <c r="T14">
        <f>ABS(Q14-R14)</f>
        <v>2.2506188954986017E-3</v>
      </c>
      <c r="V14" s="8" t="s">
        <v>24</v>
      </c>
      <c r="W14" s="8">
        <f>MAX(T13:T63)</f>
        <v>1.3977865278876678E-2</v>
      </c>
    </row>
    <row r="15" spans="2:23" x14ac:dyDescent="0.25">
      <c r="B15">
        <f>B14+$C$10</f>
        <v>0.1</v>
      </c>
      <c r="C15">
        <f>C14+$C$10*D14</f>
        <v>0.71498026247371826</v>
      </c>
      <c r="D15">
        <f>5*(C15^(2/3))-2*C15</f>
        <v>2.567946650387122</v>
      </c>
      <c r="F15">
        <v>0.1</v>
      </c>
      <c r="G15">
        <v>0.73588746375621528</v>
      </c>
      <c r="H15">
        <v>2.6036941976310617</v>
      </c>
      <c r="I15">
        <v>0.99625688351932151</v>
      </c>
      <c r="J15">
        <v>2.9950013812031617</v>
      </c>
      <c r="L15">
        <v>0.2</v>
      </c>
      <c r="M15">
        <v>1.0202113355183855</v>
      </c>
      <c r="O15">
        <f t="shared" ref="O15:O63" si="3">O14+0.1</f>
        <v>0.2</v>
      </c>
      <c r="P15">
        <f t="shared" si="0"/>
        <v>0.97177492751243055</v>
      </c>
      <c r="Q15">
        <f t="shared" si="1"/>
        <v>1.0158222426979264</v>
      </c>
      <c r="R15">
        <f t="shared" si="2"/>
        <v>1.0202113355183855</v>
      </c>
      <c r="S15">
        <f t="shared" ref="S15:S63" si="4">ABS(P15-R15)</f>
        <v>4.8436408005954945E-2</v>
      </c>
      <c r="T15">
        <f t="shared" ref="T15:T63" si="5">ABS(Q15-R15)</f>
        <v>4.3890928204590729E-3</v>
      </c>
      <c r="V15" s="8" t="s">
        <v>25</v>
      </c>
      <c r="W15" s="8">
        <f>AVERAGE(S13:S63)</f>
        <v>7.5247200392704869E-2</v>
      </c>
    </row>
    <row r="16" spans="2:23" x14ac:dyDescent="0.25">
      <c r="B16">
        <f t="shared" ref="B16:B64" si="6">B15+$C$10</f>
        <v>0.2</v>
      </c>
      <c r="C16">
        <f t="shared" ref="C16:C64" si="7">C15+$C$10*D15</f>
        <v>0.97177492751243055</v>
      </c>
      <c r="D16">
        <f t="shared" ref="D16:D64" si="8">5*(C16^(2/3))-2*C16</f>
        <v>2.9619183388859001</v>
      </c>
      <c r="F16">
        <v>0.2</v>
      </c>
      <c r="G16">
        <v>1.0158222426979264</v>
      </c>
      <c r="H16">
        <v>3.0209582130409891</v>
      </c>
      <c r="I16">
        <v>1.3179180640020254</v>
      </c>
      <c r="J16">
        <v>3.3744564181107646</v>
      </c>
      <c r="L16">
        <v>0.30000000000000004</v>
      </c>
      <c r="M16">
        <v>1.3419202622924504</v>
      </c>
      <c r="O16">
        <f t="shared" si="3"/>
        <v>0.30000000000000004</v>
      </c>
      <c r="P16">
        <f t="shared" si="0"/>
        <v>1.2679667614010206</v>
      </c>
      <c r="Q16">
        <f t="shared" si="1"/>
        <v>1.3355929742555142</v>
      </c>
      <c r="R16">
        <f t="shared" si="2"/>
        <v>1.3419202622924504</v>
      </c>
      <c r="S16">
        <f t="shared" si="4"/>
        <v>7.3953500891429824E-2</v>
      </c>
      <c r="T16">
        <f t="shared" si="5"/>
        <v>6.3272880369362738E-3</v>
      </c>
      <c r="V16" s="8" t="s">
        <v>26</v>
      </c>
      <c r="W16" s="8">
        <f>AVERAGE(T13:T63)</f>
        <v>8.9737766489308667E-3</v>
      </c>
    </row>
    <row r="17" spans="2:23" x14ac:dyDescent="0.25">
      <c r="B17">
        <f t="shared" si="6"/>
        <v>0.30000000000000004</v>
      </c>
      <c r="C17">
        <f t="shared" si="7"/>
        <v>1.2679667614010206</v>
      </c>
      <c r="D17">
        <f t="shared" si="8"/>
        <v>3.321516391166512</v>
      </c>
      <c r="F17">
        <v>0.30000000000000004</v>
      </c>
      <c r="G17">
        <v>1.3355929742555142</v>
      </c>
      <c r="H17">
        <v>3.3927241628507341</v>
      </c>
      <c r="I17">
        <v>1.6748653905405875</v>
      </c>
      <c r="J17">
        <v>3.7019061444758128</v>
      </c>
      <c r="L17">
        <v>0.4</v>
      </c>
      <c r="M17">
        <v>1.6983497399004543</v>
      </c>
      <c r="O17">
        <f t="shared" si="3"/>
        <v>0.4</v>
      </c>
      <c r="P17">
        <f t="shared" si="0"/>
        <v>1.6001184005176718</v>
      </c>
      <c r="Q17">
        <f t="shared" si="1"/>
        <v>1.6903244896218415</v>
      </c>
      <c r="R17">
        <f t="shared" si="2"/>
        <v>1.6983497399004543</v>
      </c>
      <c r="S17">
        <f t="shared" si="4"/>
        <v>9.8231339382782501E-2</v>
      </c>
      <c r="T17">
        <f t="shared" si="5"/>
        <v>8.0252502786128943E-3</v>
      </c>
      <c r="V17" s="8" t="s">
        <v>27</v>
      </c>
      <c r="W17" s="8">
        <f>S63</f>
        <v>3.9522404560983659E-2</v>
      </c>
    </row>
    <row r="18" spans="2:23" x14ac:dyDescent="0.25">
      <c r="B18">
        <f t="shared" si="6"/>
        <v>0.4</v>
      </c>
      <c r="C18">
        <f t="shared" si="7"/>
        <v>1.6001184005176718</v>
      </c>
      <c r="D18">
        <f t="shared" si="8"/>
        <v>3.6400044182386639</v>
      </c>
      <c r="F18">
        <v>0.4</v>
      </c>
      <c r="G18">
        <v>1.6903244896218415</v>
      </c>
      <c r="H18">
        <v>3.714312797401901</v>
      </c>
      <c r="I18">
        <v>2.0617557693620316</v>
      </c>
      <c r="J18">
        <v>3.9760495133527449</v>
      </c>
      <c r="L18">
        <v>0.5</v>
      </c>
      <c r="M18">
        <v>2.0843152107295784</v>
      </c>
      <c r="O18">
        <f t="shared" si="3"/>
        <v>0.5</v>
      </c>
      <c r="P18">
        <f t="shared" si="0"/>
        <v>1.9641188423415383</v>
      </c>
      <c r="Q18">
        <f t="shared" si="1"/>
        <v>2.0748426051595739</v>
      </c>
      <c r="R18">
        <f t="shared" si="2"/>
        <v>2.0843152107295784</v>
      </c>
      <c r="S18">
        <f t="shared" si="4"/>
        <v>0.12019636838804004</v>
      </c>
      <c r="T18">
        <f t="shared" si="5"/>
        <v>9.4726055700045109E-3</v>
      </c>
      <c r="V18" s="8" t="s">
        <v>28</v>
      </c>
      <c r="W18" s="8">
        <f>T63</f>
        <v>3.7786923145972651E-3</v>
      </c>
    </row>
    <row r="19" spans="2:23" x14ac:dyDescent="0.25">
      <c r="B19">
        <f t="shared" si="6"/>
        <v>0.5</v>
      </c>
      <c r="C19">
        <f t="shared" si="7"/>
        <v>1.9641188423415383</v>
      </c>
      <c r="D19">
        <f t="shared" si="8"/>
        <v>3.9135517934039088</v>
      </c>
      <c r="F19">
        <v>0.5</v>
      </c>
      <c r="G19">
        <v>2.0748426051595739</v>
      </c>
      <c r="H19">
        <v>3.9841139110697066</v>
      </c>
      <c r="I19">
        <v>2.4732539962665445</v>
      </c>
      <c r="J19">
        <v>4.197764319402129</v>
      </c>
      <c r="L19">
        <v>0.6</v>
      </c>
      <c r="M19">
        <v>2.4946129371447663</v>
      </c>
      <c r="O19">
        <f t="shared" si="3"/>
        <v>0.6</v>
      </c>
      <c r="P19">
        <f t="shared" si="0"/>
        <v>2.3554740216819292</v>
      </c>
      <c r="Q19">
        <f t="shared" si="1"/>
        <v>2.4839365166831655</v>
      </c>
      <c r="R19">
        <f t="shared" si="2"/>
        <v>2.4946129371447663</v>
      </c>
      <c r="S19">
        <f t="shared" si="4"/>
        <v>0.13913891546283708</v>
      </c>
      <c r="T19">
        <f t="shared" si="5"/>
        <v>1.0676420461600777E-2</v>
      </c>
    </row>
    <row r="20" spans="2:23" x14ac:dyDescent="0.25">
      <c r="B20">
        <f t="shared" si="6"/>
        <v>0.6</v>
      </c>
      <c r="C20">
        <f t="shared" si="7"/>
        <v>2.3554740216819292</v>
      </c>
      <c r="D20">
        <f t="shared" si="8"/>
        <v>4.140660858385294</v>
      </c>
      <c r="F20">
        <v>0.6</v>
      </c>
      <c r="G20">
        <v>2.4839365166831655</v>
      </c>
      <c r="H20">
        <v>4.2027110904097551</v>
      </c>
      <c r="I20">
        <v>2.9042076257241409</v>
      </c>
      <c r="J20">
        <v>4.3694128589823071</v>
      </c>
      <c r="L20">
        <v>0.7</v>
      </c>
      <c r="M20">
        <v>2.9241961025623375</v>
      </c>
      <c r="O20">
        <f t="shared" si="3"/>
        <v>0.7</v>
      </c>
      <c r="P20">
        <f t="shared" si="0"/>
        <v>2.7695401075204584</v>
      </c>
      <c r="Q20">
        <f t="shared" si="1"/>
        <v>2.9125427141527687</v>
      </c>
      <c r="R20">
        <f t="shared" si="2"/>
        <v>2.9241961025623375</v>
      </c>
      <c r="S20">
        <f t="shared" si="4"/>
        <v>0.1546559950418791</v>
      </c>
      <c r="T20">
        <f t="shared" si="5"/>
        <v>1.1653388409568866E-2</v>
      </c>
    </row>
    <row r="21" spans="2:23" x14ac:dyDescent="0.25">
      <c r="B21">
        <f t="shared" si="6"/>
        <v>0.7</v>
      </c>
      <c r="C21">
        <f t="shared" si="7"/>
        <v>2.7695401075204584</v>
      </c>
      <c r="D21">
        <f t="shared" si="8"/>
        <v>4.3216356205100332</v>
      </c>
      <c r="F21">
        <v>0.7</v>
      </c>
      <c r="G21">
        <v>2.9125427141527687</v>
      </c>
      <c r="H21">
        <v>4.3722069861863426</v>
      </c>
      <c r="I21">
        <v>3.3497634127714031</v>
      </c>
      <c r="J21">
        <v>4.4943217448191231</v>
      </c>
      <c r="L21">
        <v>0.79999999999999993</v>
      </c>
      <c r="M21">
        <v>3.3682940298564517</v>
      </c>
      <c r="O21">
        <f t="shared" si="3"/>
        <v>0.79999999999999993</v>
      </c>
      <c r="P21">
        <f t="shared" si="0"/>
        <v>3.2017036695714616</v>
      </c>
      <c r="Q21">
        <f t="shared" si="1"/>
        <v>3.3558691507030423</v>
      </c>
      <c r="R21">
        <f t="shared" si="2"/>
        <v>3.3682940298564517</v>
      </c>
      <c r="S21">
        <f t="shared" si="4"/>
        <v>0.16659036028499008</v>
      </c>
      <c r="T21">
        <f t="shared" si="5"/>
        <v>1.2424879153409396E-2</v>
      </c>
    </row>
    <row r="22" spans="2:23" x14ac:dyDescent="0.25">
      <c r="B22">
        <f t="shared" si="6"/>
        <v>0.79999999999999993</v>
      </c>
      <c r="C22">
        <f t="shared" si="7"/>
        <v>3.2017036695714616</v>
      </c>
      <c r="D22">
        <f t="shared" si="8"/>
        <v>4.4581165109471286</v>
      </c>
      <c r="F22">
        <v>0.79999999999999993</v>
      </c>
      <c r="G22">
        <v>3.3558691507030423</v>
      </c>
      <c r="H22">
        <v>4.4957084351918279</v>
      </c>
      <c r="I22">
        <v>3.8054399942222252</v>
      </c>
      <c r="J22">
        <v>4.576394419722897</v>
      </c>
      <c r="L22">
        <v>0.89999999999999991</v>
      </c>
      <c r="M22">
        <v>3.8224881640743189</v>
      </c>
      <c r="O22">
        <f t="shared" si="3"/>
        <v>0.89999999999999991</v>
      </c>
      <c r="P22">
        <f t="shared" si="0"/>
        <v>3.6475153206661743</v>
      </c>
      <c r="Q22">
        <f t="shared" si="1"/>
        <v>3.8094742934487784</v>
      </c>
      <c r="R22">
        <f t="shared" si="2"/>
        <v>3.8224881640743189</v>
      </c>
      <c r="S22">
        <f t="shared" si="4"/>
        <v>0.17497284340814456</v>
      </c>
      <c r="T22">
        <f t="shared" si="5"/>
        <v>1.3013870625540491E-2</v>
      </c>
    </row>
    <row r="23" spans="2:23" x14ac:dyDescent="0.25">
      <c r="B23">
        <f t="shared" si="6"/>
        <v>0.89999999999999991</v>
      </c>
      <c r="C23">
        <f t="shared" si="7"/>
        <v>3.6475153206661743</v>
      </c>
      <c r="D23">
        <f t="shared" si="8"/>
        <v>4.5526886033235607</v>
      </c>
      <c r="F23">
        <v>0.89999999999999991</v>
      </c>
      <c r="G23">
        <v>3.8094742934487784</v>
      </c>
      <c r="H23">
        <v>4.5769377782834146</v>
      </c>
      <c r="I23">
        <v>4.2671680712771201</v>
      </c>
      <c r="J23">
        <v>4.619825375446668</v>
      </c>
      <c r="L23">
        <v>0.99999999999999989</v>
      </c>
      <c r="M23">
        <v>4.2827555620548496</v>
      </c>
      <c r="O23">
        <f t="shared" si="3"/>
        <v>0.99999999999999989</v>
      </c>
      <c r="P23">
        <f t="shared" si="0"/>
        <v>4.1027841809985306</v>
      </c>
      <c r="Q23">
        <f t="shared" si="1"/>
        <v>4.2693124511352822</v>
      </c>
      <c r="R23">
        <f t="shared" si="2"/>
        <v>4.2827555620548496</v>
      </c>
      <c r="S23">
        <f t="shared" si="4"/>
        <v>0.17997138105631905</v>
      </c>
      <c r="T23">
        <f t="shared" si="5"/>
        <v>1.3443110919567403E-2</v>
      </c>
    </row>
    <row r="24" spans="2:23" x14ac:dyDescent="0.25">
      <c r="B24">
        <f t="shared" si="6"/>
        <v>0.99999999999999989</v>
      </c>
      <c r="C24">
        <f t="shared" si="7"/>
        <v>4.1027841809985306</v>
      </c>
      <c r="D24">
        <f t="shared" si="8"/>
        <v>4.6085614496887874</v>
      </c>
      <c r="F24">
        <v>0.99999999999999989</v>
      </c>
      <c r="G24">
        <v>4.2693124511352822</v>
      </c>
      <c r="H24">
        <v>4.6199431536724411</v>
      </c>
      <c r="I24">
        <v>4.7313067665025264</v>
      </c>
      <c r="J24">
        <v>4.6288924502334421</v>
      </c>
      <c r="L24">
        <v>1.0999999999999999</v>
      </c>
      <c r="M24">
        <v>4.7454883083054993</v>
      </c>
      <c r="O24">
        <f t="shared" si="3"/>
        <v>1.0999999999999999</v>
      </c>
      <c r="P24">
        <f t="shared" si="0"/>
        <v>4.563640325967409</v>
      </c>
      <c r="Q24">
        <f t="shared" si="1"/>
        <v>4.7317542313305765</v>
      </c>
      <c r="R24">
        <f t="shared" si="2"/>
        <v>4.7454883083054993</v>
      </c>
      <c r="S24">
        <f t="shared" si="4"/>
        <v>0.1818479823380903</v>
      </c>
      <c r="T24">
        <f t="shared" si="5"/>
        <v>1.3734076974922793E-2</v>
      </c>
    </row>
    <row r="25" spans="2:23" x14ac:dyDescent="0.25">
      <c r="B25">
        <f t="shared" si="6"/>
        <v>1.0999999999999999</v>
      </c>
      <c r="C25">
        <f t="shared" si="7"/>
        <v>4.563640325967409</v>
      </c>
      <c r="D25">
        <f t="shared" si="8"/>
        <v>4.6293140963998578</v>
      </c>
      <c r="F25">
        <v>1.0999999999999999</v>
      </c>
      <c r="G25">
        <v>4.7317542313305765</v>
      </c>
      <c r="H25">
        <v>4.6288859789852861</v>
      </c>
      <c r="I25">
        <v>5.1946428292291049</v>
      </c>
      <c r="J25">
        <v>4.6078089868504275</v>
      </c>
      <c r="L25">
        <v>1.2</v>
      </c>
      <c r="M25">
        <v>5.2074954221676872</v>
      </c>
      <c r="O25">
        <f t="shared" si="3"/>
        <v>1.2</v>
      </c>
      <c r="P25">
        <f t="shared" si="0"/>
        <v>5.0265717356073951</v>
      </c>
      <c r="Q25">
        <f t="shared" si="1"/>
        <v>5.193588979622362</v>
      </c>
      <c r="R25">
        <f t="shared" si="2"/>
        <v>5.2074954221676872</v>
      </c>
      <c r="S25">
        <f t="shared" si="4"/>
        <v>0.18092368656029212</v>
      </c>
      <c r="T25">
        <f t="shared" si="5"/>
        <v>1.3906442545325248E-2</v>
      </c>
    </row>
    <row r="26" spans="2:23" x14ac:dyDescent="0.25">
      <c r="B26">
        <f t="shared" si="6"/>
        <v>1.2</v>
      </c>
      <c r="C26">
        <f t="shared" si="7"/>
        <v>5.0265717356073951</v>
      </c>
      <c r="D26">
        <f t="shared" si="8"/>
        <v>4.6186969337418358</v>
      </c>
      <c r="F26">
        <v>1.2</v>
      </c>
      <c r="G26">
        <v>5.193588979622362</v>
      </c>
      <c r="H26">
        <v>4.6078882865183317</v>
      </c>
      <c r="I26">
        <v>5.6543778082741953</v>
      </c>
      <c r="J26">
        <v>4.5606217129045898</v>
      </c>
      <c r="L26">
        <v>1.3</v>
      </c>
      <c r="M26">
        <v>5.665992344872385</v>
      </c>
      <c r="O26">
        <f t="shared" si="3"/>
        <v>1.3</v>
      </c>
      <c r="P26">
        <f t="shared" si="0"/>
        <v>5.4884414289815791</v>
      </c>
      <c r="Q26">
        <f t="shared" si="1"/>
        <v>5.6520144795935083</v>
      </c>
      <c r="R26">
        <f t="shared" si="2"/>
        <v>5.665992344872385</v>
      </c>
      <c r="S26">
        <f t="shared" si="4"/>
        <v>0.17755091589080596</v>
      </c>
      <c r="T26">
        <f t="shared" si="5"/>
        <v>1.3977865278876678E-2</v>
      </c>
    </row>
    <row r="27" spans="2:23" x14ac:dyDescent="0.25">
      <c r="B27">
        <f t="shared" si="6"/>
        <v>1.3</v>
      </c>
      <c r="C27">
        <f t="shared" si="7"/>
        <v>5.4884414289815791</v>
      </c>
      <c r="D27">
        <f t="shared" si="8"/>
        <v>4.5804816363683241</v>
      </c>
      <c r="F27">
        <v>1.3</v>
      </c>
      <c r="G27">
        <v>5.6520144795935083</v>
      </c>
      <c r="H27">
        <v>4.5609261722288092</v>
      </c>
      <c r="I27">
        <v>6.1081070968163891</v>
      </c>
      <c r="J27">
        <v>4.4911433377682624</v>
      </c>
      <c r="L27">
        <v>1.4000000000000001</v>
      </c>
      <c r="M27">
        <v>6.1185819227884837</v>
      </c>
      <c r="O27">
        <f t="shared" si="3"/>
        <v>1.4000000000000001</v>
      </c>
      <c r="P27">
        <f t="shared" si="0"/>
        <v>5.9464895926184118</v>
      </c>
      <c r="Q27">
        <f t="shared" si="1"/>
        <v>6.1046179550933619</v>
      </c>
      <c r="R27">
        <f t="shared" si="2"/>
        <v>6.1185819227884837</v>
      </c>
      <c r="S27">
        <f t="shared" si="4"/>
        <v>0.17209233017007186</v>
      </c>
      <c r="T27">
        <f t="shared" si="5"/>
        <v>1.396396769512176E-2</v>
      </c>
    </row>
    <row r="28" spans="2:23" x14ac:dyDescent="0.25">
      <c r="B28">
        <f t="shared" si="6"/>
        <v>1.4000000000000001</v>
      </c>
      <c r="C28">
        <f t="shared" si="7"/>
        <v>5.9464895926184118</v>
      </c>
      <c r="D28">
        <f t="shared" si="8"/>
        <v>4.518350866478313</v>
      </c>
      <c r="F28">
        <v>1.4000000000000001</v>
      </c>
      <c r="G28">
        <v>6.1046179550933619</v>
      </c>
      <c r="H28">
        <v>4.4917585053690487</v>
      </c>
      <c r="I28">
        <v>6.5537938056302671</v>
      </c>
      <c r="J28">
        <v>4.4029112924304172</v>
      </c>
      <c r="L28">
        <v>1.5000000000000002</v>
      </c>
      <c r="M28">
        <v>6.5632298752638647</v>
      </c>
      <c r="O28">
        <f t="shared" si="3"/>
        <v>1.5000000000000002</v>
      </c>
      <c r="P28">
        <f t="shared" si="0"/>
        <v>6.3983246792662429</v>
      </c>
      <c r="Q28">
        <f t="shared" si="1"/>
        <v>6.5493514449833352</v>
      </c>
      <c r="R28">
        <f t="shared" si="2"/>
        <v>6.5632298752638647</v>
      </c>
      <c r="S28">
        <f t="shared" si="4"/>
        <v>0.16490519599762177</v>
      </c>
      <c r="T28">
        <f t="shared" si="5"/>
        <v>1.3878430280529486E-2</v>
      </c>
    </row>
    <row r="29" spans="2:23" x14ac:dyDescent="0.25">
      <c r="B29">
        <f t="shared" si="6"/>
        <v>1.5000000000000002</v>
      </c>
      <c r="C29">
        <f t="shared" si="7"/>
        <v>6.3983246792662429</v>
      </c>
      <c r="D29">
        <f t="shared" si="8"/>
        <v>4.4358202228941384</v>
      </c>
      <c r="F29">
        <v>1.5000000000000002</v>
      </c>
      <c r="G29">
        <v>6.5493514449833352</v>
      </c>
      <c r="H29">
        <v>4.4038823539384886</v>
      </c>
      <c r="I29">
        <v>6.9897396803771841</v>
      </c>
      <c r="J29">
        <v>4.2991659396874162</v>
      </c>
      <c r="L29">
        <v>1.6000000000000003</v>
      </c>
      <c r="M29">
        <v>6.9982370036242934</v>
      </c>
      <c r="O29">
        <f t="shared" si="3"/>
        <v>1.6000000000000003</v>
      </c>
      <c r="P29">
        <f t="shared" si="0"/>
        <v>6.8419067015556569</v>
      </c>
      <c r="Q29">
        <f t="shared" si="1"/>
        <v>6.9845038596646303</v>
      </c>
      <c r="R29">
        <f t="shared" si="2"/>
        <v>6.9982370036242934</v>
      </c>
      <c r="S29">
        <f t="shared" si="4"/>
        <v>0.15633030206863641</v>
      </c>
      <c r="T29">
        <f t="shared" si="5"/>
        <v>1.3733143959663074E-2</v>
      </c>
    </row>
    <row r="30" spans="2:23" x14ac:dyDescent="0.25">
      <c r="B30">
        <f t="shared" si="6"/>
        <v>1.6000000000000003</v>
      </c>
      <c r="C30">
        <f t="shared" si="7"/>
        <v>6.8419067015556569</v>
      </c>
      <c r="D30">
        <f t="shared" si="8"/>
        <v>4.3361858845825498</v>
      </c>
      <c r="F30">
        <v>1.6000000000000003</v>
      </c>
      <c r="G30">
        <v>6.9845038596646303</v>
      </c>
      <c r="H30">
        <v>4.300508422642638</v>
      </c>
      <c r="I30">
        <v>7.4145547019288944</v>
      </c>
      <c r="J30">
        <v>4.1828430741300444</v>
      </c>
      <c r="L30">
        <v>1.7000000000000004</v>
      </c>
      <c r="M30">
        <v>7.4222098230667539</v>
      </c>
      <c r="O30">
        <f t="shared" si="3"/>
        <v>1.7000000000000004</v>
      </c>
      <c r="P30">
        <f t="shared" si="0"/>
        <v>7.2755252900139116</v>
      </c>
      <c r="Q30">
        <f t="shared" si="1"/>
        <v>7.4086714345032645</v>
      </c>
      <c r="R30">
        <f t="shared" si="2"/>
        <v>7.4222098230667539</v>
      </c>
      <c r="S30">
        <f t="shared" si="4"/>
        <v>0.14668453305284235</v>
      </c>
      <c r="T30">
        <f t="shared" si="5"/>
        <v>1.3538388563489434E-2</v>
      </c>
    </row>
    <row r="31" spans="2:23" x14ac:dyDescent="0.25">
      <c r="B31">
        <f t="shared" si="6"/>
        <v>1.7000000000000004</v>
      </c>
      <c r="C31">
        <f t="shared" si="7"/>
        <v>7.2755252900139116</v>
      </c>
      <c r="D31">
        <f t="shared" si="8"/>
        <v>4.2224923792987994</v>
      </c>
      <c r="F31">
        <v>1.7000000000000004</v>
      </c>
      <c r="G31">
        <v>7.4086714345032645</v>
      </c>
      <c r="H31">
        <v>4.1845512663070625</v>
      </c>
      <c r="I31">
        <v>7.8271265611339711</v>
      </c>
      <c r="J31">
        <v>4.0565767047295722</v>
      </c>
      <c r="L31">
        <v>1.8000000000000005</v>
      </c>
      <c r="M31">
        <v>7.8340308498220992</v>
      </c>
      <c r="O31">
        <f t="shared" si="3"/>
        <v>1.8000000000000005</v>
      </c>
      <c r="P31">
        <f t="shared" si="0"/>
        <v>7.6977745279437917</v>
      </c>
      <c r="Q31">
        <f t="shared" si="1"/>
        <v>7.8207278330550967</v>
      </c>
      <c r="R31">
        <f t="shared" si="2"/>
        <v>7.8340308498220992</v>
      </c>
      <c r="S31">
        <f t="shared" si="4"/>
        <v>0.1362563218783075</v>
      </c>
      <c r="T31">
        <f t="shared" si="5"/>
        <v>1.3303016767002518E-2</v>
      </c>
    </row>
    <row r="32" spans="2:23" x14ac:dyDescent="0.25">
      <c r="B32">
        <f t="shared" si="6"/>
        <v>1.8000000000000005</v>
      </c>
      <c r="C32">
        <f t="shared" si="7"/>
        <v>7.6977745279437917</v>
      </c>
      <c r="D32">
        <f t="shared" si="8"/>
        <v>4.0975158331011006</v>
      </c>
      <c r="F32">
        <v>1.8000000000000005</v>
      </c>
      <c r="G32">
        <v>7.8207278330550967</v>
      </c>
      <c r="H32">
        <v>4.0586302069300118</v>
      </c>
      <c r="I32">
        <v>8.2265908537480978</v>
      </c>
      <c r="J32">
        <v>3.9227090360502217</v>
      </c>
      <c r="L32">
        <v>1.9000000000000006</v>
      </c>
      <c r="M32">
        <v>8.2328294266320885</v>
      </c>
      <c r="O32">
        <f t="shared" si="3"/>
        <v>1.9000000000000006</v>
      </c>
      <c r="P32">
        <f t="shared" si="0"/>
        <v>8.1075261112539021</v>
      </c>
      <c r="Q32">
        <f t="shared" si="1"/>
        <v>8.2197947952041091</v>
      </c>
      <c r="R32">
        <f t="shared" si="2"/>
        <v>8.2328294266320885</v>
      </c>
      <c r="S32">
        <f t="shared" si="4"/>
        <v>0.1253033153781864</v>
      </c>
      <c r="T32">
        <f t="shared" si="5"/>
        <v>1.3034631427979448E-2</v>
      </c>
    </row>
    <row r="33" spans="2:20" x14ac:dyDescent="0.25">
      <c r="B33">
        <f t="shared" si="6"/>
        <v>1.9000000000000006</v>
      </c>
      <c r="C33">
        <f t="shared" si="7"/>
        <v>8.1075261112539021</v>
      </c>
      <c r="D33">
        <f t="shared" si="8"/>
        <v>3.9637588888003101</v>
      </c>
      <c r="F33">
        <v>1.9000000000000006</v>
      </c>
      <c r="G33">
        <v>8.2197947952041091</v>
      </c>
      <c r="H33">
        <v>3.9250778066472343</v>
      </c>
      <c r="I33">
        <v>8.6123025758688332</v>
      </c>
      <c r="J33">
        <v>3.7833052901095989</v>
      </c>
      <c r="L33">
        <v>2.0000000000000004</v>
      </c>
      <c r="M33">
        <v>8.6179536998015607</v>
      </c>
      <c r="O33">
        <f t="shared" si="3"/>
        <v>2.0000000000000004</v>
      </c>
      <c r="P33">
        <f t="shared" si="0"/>
        <v>8.5039020001339338</v>
      </c>
      <c r="Q33">
        <f t="shared" si="1"/>
        <v>8.60521395004195</v>
      </c>
      <c r="R33">
        <f t="shared" si="2"/>
        <v>8.6179536998015607</v>
      </c>
      <c r="S33">
        <f t="shared" si="4"/>
        <v>0.11405169966762685</v>
      </c>
      <c r="T33">
        <f t="shared" si="5"/>
        <v>1.2739749759610675E-2</v>
      </c>
    </row>
    <row r="34" spans="2:20" x14ac:dyDescent="0.25">
      <c r="B34">
        <f t="shared" si="6"/>
        <v>2.0000000000000004</v>
      </c>
      <c r="C34">
        <f t="shared" si="7"/>
        <v>8.5039020001339338</v>
      </c>
      <c r="D34">
        <f t="shared" si="8"/>
        <v>3.8234542078095934</v>
      </c>
      <c r="F34">
        <v>2.0000000000000004</v>
      </c>
      <c r="G34">
        <v>8.60521395004195</v>
      </c>
      <c r="H34">
        <v>3.7859534799985823</v>
      </c>
      <c r="I34">
        <v>8.9838092980418089</v>
      </c>
      <c r="J34">
        <v>3.6401715809330213</v>
      </c>
      <c r="L34">
        <v>2.1000000000000005</v>
      </c>
      <c r="M34">
        <v>8.9889441543713247</v>
      </c>
      <c r="O34">
        <f t="shared" si="3"/>
        <v>2.1000000000000005</v>
      </c>
      <c r="P34">
        <f t="shared" si="0"/>
        <v>8.8862474209148932</v>
      </c>
      <c r="Q34">
        <f t="shared" si="1"/>
        <v>8.9765202030885298</v>
      </c>
      <c r="R34">
        <f t="shared" si="2"/>
        <v>8.9889441543713247</v>
      </c>
      <c r="S34">
        <f t="shared" si="4"/>
        <v>0.10269673345643149</v>
      </c>
      <c r="T34">
        <f t="shared" si="5"/>
        <v>1.2423951282794832E-2</v>
      </c>
    </row>
    <row r="35" spans="2:20" x14ac:dyDescent="0.25">
      <c r="B35">
        <f t="shared" si="6"/>
        <v>2.1000000000000005</v>
      </c>
      <c r="C35">
        <f t="shared" si="7"/>
        <v>8.8862474209148932</v>
      </c>
      <c r="D35">
        <f t="shared" si="8"/>
        <v>3.6785740900466628</v>
      </c>
      <c r="F35">
        <v>2.1000000000000005</v>
      </c>
      <c r="G35">
        <v>8.9765202030885298</v>
      </c>
      <c r="H35">
        <v>3.6430604057361506</v>
      </c>
      <c r="I35">
        <v>9.3408262436621445</v>
      </c>
      <c r="J35">
        <v>3.4948745003373034</v>
      </c>
      <c r="L35">
        <v>2.2000000000000006</v>
      </c>
      <c r="M35">
        <v>9.3455089570802095</v>
      </c>
      <c r="O35">
        <f t="shared" si="3"/>
        <v>2.2000000000000006</v>
      </c>
      <c r="P35">
        <f t="shared" si="0"/>
        <v>9.2541048299195587</v>
      </c>
      <c r="Q35">
        <f t="shared" si="1"/>
        <v>9.3334169483922018</v>
      </c>
      <c r="R35">
        <f t="shared" si="2"/>
        <v>9.3455089570802095</v>
      </c>
      <c r="S35">
        <f t="shared" si="4"/>
        <v>9.1404127160650717E-2</v>
      </c>
      <c r="T35">
        <f t="shared" si="5"/>
        <v>1.2092008688007638E-2</v>
      </c>
    </row>
    <row r="36" spans="2:20" x14ac:dyDescent="0.25">
      <c r="B36">
        <f t="shared" si="6"/>
        <v>2.2000000000000006</v>
      </c>
      <c r="C36">
        <f t="shared" si="7"/>
        <v>9.2541048299195587</v>
      </c>
      <c r="D36">
        <f t="shared" si="8"/>
        <v>3.5308442671711902</v>
      </c>
      <c r="F36">
        <v>2.2000000000000006</v>
      </c>
      <c r="G36">
        <v>9.3334169483922018</v>
      </c>
      <c r="H36">
        <v>3.4979643520812971</v>
      </c>
      <c r="I36">
        <v>9.6832133836003322</v>
      </c>
      <c r="J36">
        <v>3.3487614220752633</v>
      </c>
      <c r="L36">
        <v>2.3000000000000007</v>
      </c>
      <c r="M36">
        <v>9.6875012391391166</v>
      </c>
      <c r="O36">
        <f t="shared" si="3"/>
        <v>2.3000000000000007</v>
      </c>
      <c r="P36">
        <f t="shared" si="0"/>
        <v>9.6071892566366781</v>
      </c>
      <c r="Q36">
        <f t="shared" si="1"/>
        <v>9.6757532371000305</v>
      </c>
      <c r="R36">
        <f t="shared" si="2"/>
        <v>9.6875012391391166</v>
      </c>
      <c r="S36">
        <f t="shared" si="4"/>
        <v>8.0311982502438539E-2</v>
      </c>
      <c r="T36">
        <f t="shared" si="5"/>
        <v>1.1748002039086103E-2</v>
      </c>
    </row>
    <row r="37" spans="2:20" x14ac:dyDescent="0.25">
      <c r="B37">
        <f t="shared" si="6"/>
        <v>2.3000000000000007</v>
      </c>
      <c r="C37">
        <f t="shared" si="7"/>
        <v>9.6071892566366781</v>
      </c>
      <c r="D37">
        <f t="shared" si="8"/>
        <v>3.3817603555214468</v>
      </c>
      <c r="F37">
        <v>2.3000000000000007</v>
      </c>
      <c r="G37">
        <v>9.6757532371000305</v>
      </c>
      <c r="H37">
        <v>3.3520133847752867</v>
      </c>
      <c r="I37">
        <v>10.010954575577559</v>
      </c>
      <c r="J37">
        <v>3.2029808025108188</v>
      </c>
      <c r="L37">
        <v>2.4000000000000008</v>
      </c>
      <c r="M37">
        <v>10.01489836394105</v>
      </c>
      <c r="O37">
        <f t="shared" si="3"/>
        <v>2.4000000000000008</v>
      </c>
      <c r="P37">
        <f t="shared" si="0"/>
        <v>9.9453652921888231</v>
      </c>
      <c r="Q37">
        <f t="shared" si="1"/>
        <v>10.003502946464335</v>
      </c>
      <c r="R37">
        <f t="shared" si="2"/>
        <v>10.01489836394105</v>
      </c>
      <c r="S37">
        <f t="shared" si="4"/>
        <v>6.9533071752227116E-2</v>
      </c>
      <c r="T37">
        <f t="shared" si="5"/>
        <v>1.1395417476714798E-2</v>
      </c>
    </row>
    <row r="38" spans="2:20" x14ac:dyDescent="0.25">
      <c r="B38">
        <f t="shared" si="6"/>
        <v>2.4000000000000008</v>
      </c>
      <c r="C38">
        <f t="shared" si="7"/>
        <v>9.9453652921888231</v>
      </c>
      <c r="D38">
        <f t="shared" si="8"/>
        <v>3.2326058078578868</v>
      </c>
      <c r="F38">
        <v>2.4000000000000008</v>
      </c>
      <c r="G38">
        <v>10.003502946464335</v>
      </c>
      <c r="H38">
        <v>3.2063577044976874</v>
      </c>
      <c r="I38">
        <v>10.324138716914105</v>
      </c>
      <c r="J38">
        <v>3.0585019656476113</v>
      </c>
      <c r="L38">
        <v>2.5000000000000009</v>
      </c>
      <c r="M38">
        <v>10.32778316190408</v>
      </c>
      <c r="O38">
        <f t="shared" si="3"/>
        <v>2.5000000000000009</v>
      </c>
      <c r="P38">
        <f t="shared" si="0"/>
        <v>10.268625872974612</v>
      </c>
      <c r="Q38">
        <f t="shared" si="1"/>
        <v>10.316745929971601</v>
      </c>
      <c r="R38">
        <f t="shared" si="2"/>
        <v>10.32778316190408</v>
      </c>
      <c r="S38">
        <f t="shared" si="4"/>
        <v>5.9157288929467811E-2</v>
      </c>
      <c r="T38">
        <f t="shared" si="5"/>
        <v>1.103723193247852E-2</v>
      </c>
    </row>
    <row r="39" spans="2:20" x14ac:dyDescent="0.25">
      <c r="B39">
        <f t="shared" si="6"/>
        <v>2.5000000000000009</v>
      </c>
      <c r="C39">
        <f t="shared" si="7"/>
        <v>10.268625872974612</v>
      </c>
      <c r="D39">
        <f t="shared" si="8"/>
        <v>3.0844704886056995</v>
      </c>
      <c r="F39">
        <v>2.5000000000000009</v>
      </c>
      <c r="G39">
        <v>10.316745929971601</v>
      </c>
      <c r="H39">
        <v>3.0619690753061839</v>
      </c>
      <c r="I39">
        <v>10.622942837502219</v>
      </c>
      <c r="J39">
        <v>2.9161340214762319</v>
      </c>
      <c r="L39">
        <v>2.600000000000001</v>
      </c>
      <c r="M39">
        <v>10.626327070294584</v>
      </c>
      <c r="O39">
        <f t="shared" si="3"/>
        <v>2.600000000000001</v>
      </c>
      <c r="P39">
        <f t="shared" si="0"/>
        <v>10.577072921835182</v>
      </c>
      <c r="Q39">
        <f t="shared" si="1"/>
        <v>10.615651084810722</v>
      </c>
      <c r="R39">
        <f t="shared" si="2"/>
        <v>10.626327070294584</v>
      </c>
      <c r="S39">
        <f t="shared" si="4"/>
        <v>4.9254148459402458E-2</v>
      </c>
      <c r="T39">
        <f t="shared" si="5"/>
        <v>1.0675985483862505E-2</v>
      </c>
    </row>
    <row r="40" spans="2:20" x14ac:dyDescent="0.25">
      <c r="B40">
        <f t="shared" si="6"/>
        <v>2.600000000000001</v>
      </c>
      <c r="C40">
        <f t="shared" si="7"/>
        <v>10.577072921835182</v>
      </c>
      <c r="D40">
        <f t="shared" si="8"/>
        <v>2.9382692261806405</v>
      </c>
      <c r="F40">
        <v>2.600000000000001</v>
      </c>
      <c r="G40">
        <v>10.615651084810722</v>
      </c>
      <c r="H40">
        <v>2.9196594715509931</v>
      </c>
      <c r="I40">
        <v>10.90761703196582</v>
      </c>
      <c r="J40">
        <v>2.7765436894920867</v>
      </c>
      <c r="L40">
        <v>2.7000000000000011</v>
      </c>
      <c r="M40">
        <v>10.910775085821911</v>
      </c>
      <c r="O40">
        <f t="shared" si="3"/>
        <v>2.7000000000000011</v>
      </c>
      <c r="P40">
        <f t="shared" si="0"/>
        <v>10.870899844453247</v>
      </c>
      <c r="Q40">
        <f t="shared" si="1"/>
        <v>10.900461242862876</v>
      </c>
      <c r="R40">
        <f t="shared" si="2"/>
        <v>10.910775085821911</v>
      </c>
      <c r="S40">
        <f t="shared" si="4"/>
        <v>3.9875241368664049E-2</v>
      </c>
      <c r="T40">
        <f t="shared" si="5"/>
        <v>1.0313842959034147E-2</v>
      </c>
    </row>
    <row r="41" spans="2:20" x14ac:dyDescent="0.25">
      <c r="B41">
        <f t="shared" si="6"/>
        <v>2.7000000000000011</v>
      </c>
      <c r="C41">
        <f t="shared" si="7"/>
        <v>10.870899844453247</v>
      </c>
      <c r="D41">
        <f t="shared" si="8"/>
        <v>2.7947598776136537</v>
      </c>
      <c r="F41">
        <v>2.7000000000000011</v>
      </c>
      <c r="G41">
        <v>10.900461242862876</v>
      </c>
      <c r="H41">
        <v>2.7800986975446769</v>
      </c>
      <c r="I41">
        <v>11.178471112617345</v>
      </c>
      <c r="J41">
        <v>2.6402718920391699</v>
      </c>
      <c r="L41">
        <v>2.8000000000000012</v>
      </c>
      <c r="M41">
        <v>11.181432418640298</v>
      </c>
      <c r="O41">
        <f t="shared" si="3"/>
        <v>2.8000000000000012</v>
      </c>
      <c r="P41">
        <f t="shared" si="0"/>
        <v>11.150375832214612</v>
      </c>
      <c r="Q41">
        <f t="shared" si="1"/>
        <v>11.171479772342069</v>
      </c>
      <c r="R41">
        <f t="shared" si="2"/>
        <v>11.181432418640298</v>
      </c>
      <c r="S41">
        <f t="shared" si="4"/>
        <v>3.1056586425686206E-2</v>
      </c>
      <c r="T41">
        <f t="shared" si="5"/>
        <v>9.9526462982293395E-3</v>
      </c>
    </row>
    <row r="42" spans="2:20" x14ac:dyDescent="0.25">
      <c r="B42">
        <f t="shared" si="6"/>
        <v>2.8000000000000012</v>
      </c>
      <c r="C42">
        <f t="shared" si="7"/>
        <v>11.150375832214612</v>
      </c>
      <c r="D42">
        <f t="shared" si="8"/>
        <v>2.654560583333808</v>
      </c>
      <c r="F42">
        <v>2.8000000000000012</v>
      </c>
      <c r="G42">
        <v>11.171479772342069</v>
      </c>
      <c r="H42">
        <v>2.6438308303674134</v>
      </c>
      <c r="I42">
        <v>11.43586285537881</v>
      </c>
      <c r="J42">
        <v>2.5077490513579015</v>
      </c>
      <c r="L42">
        <v>2.9000000000000012</v>
      </c>
      <c r="M42">
        <v>11.438652725464253</v>
      </c>
      <c r="O42">
        <f t="shared" si="3"/>
        <v>2.9000000000000012</v>
      </c>
      <c r="P42">
        <f t="shared" si="0"/>
        <v>11.415831890547993</v>
      </c>
      <c r="Q42">
        <f t="shared" si="1"/>
        <v>11.429058766428335</v>
      </c>
      <c r="R42">
        <f t="shared" si="2"/>
        <v>11.438652725464253</v>
      </c>
      <c r="S42">
        <f t="shared" si="4"/>
        <v>2.2820834916259969E-2</v>
      </c>
      <c r="T42">
        <f t="shared" si="5"/>
        <v>9.5939590359179761E-3</v>
      </c>
    </row>
    <row r="43" spans="2:20" x14ac:dyDescent="0.25">
      <c r="B43">
        <f t="shared" si="6"/>
        <v>2.9000000000000012</v>
      </c>
      <c r="C43">
        <f t="shared" si="7"/>
        <v>11.415831890547993</v>
      </c>
      <c r="D43">
        <f t="shared" si="8"/>
        <v>2.5181660007500639</v>
      </c>
      <c r="F43">
        <v>2.9000000000000012</v>
      </c>
      <c r="G43">
        <v>11.429058766428335</v>
      </c>
      <c r="H43">
        <v>2.5112894081478636</v>
      </c>
      <c r="I43">
        <v>11.680187707243121</v>
      </c>
      <c r="J43">
        <v>2.3793090750343033</v>
      </c>
      <c r="L43">
        <v>3.0000000000000013</v>
      </c>
      <c r="M43">
        <v>11.682827794697335</v>
      </c>
      <c r="O43">
        <f t="shared" si="3"/>
        <v>3.0000000000000013</v>
      </c>
      <c r="P43">
        <f t="shared" si="0"/>
        <v>11.667648490623</v>
      </c>
      <c r="Q43">
        <f t="shared" si="1"/>
        <v>11.673588690587444</v>
      </c>
      <c r="R43">
        <f t="shared" si="2"/>
        <v>11.682827794697335</v>
      </c>
      <c r="S43">
        <f t="shared" si="4"/>
        <v>1.517930407433532E-2</v>
      </c>
      <c r="T43">
        <f t="shared" si="5"/>
        <v>9.2391041098913718E-3</v>
      </c>
    </row>
    <row r="44" spans="2:20" x14ac:dyDescent="0.25">
      <c r="B44">
        <f t="shared" si="6"/>
        <v>3.0000000000000013</v>
      </c>
      <c r="C44">
        <f t="shared" si="7"/>
        <v>11.667648490623</v>
      </c>
      <c r="D44">
        <f t="shared" si="8"/>
        <v>2.3859623902308478</v>
      </c>
      <c r="F44">
        <v>3.0000000000000013</v>
      </c>
      <c r="G44">
        <v>11.673588690587444</v>
      </c>
      <c r="H44">
        <v>2.3828113392328945</v>
      </c>
      <c r="I44">
        <v>11.911869824510733</v>
      </c>
      <c r="J44">
        <v>2.2552020510701816</v>
      </c>
      <c r="L44">
        <v>3.1000000000000014</v>
      </c>
      <c r="M44">
        <v>11.914378556147474</v>
      </c>
      <c r="O44">
        <f t="shared" si="3"/>
        <v>3.1000000000000014</v>
      </c>
      <c r="P44">
        <f t="shared" si="0"/>
        <v>11.906244729646085</v>
      </c>
      <c r="Q44">
        <f t="shared" si="1"/>
        <v>11.905489360102598</v>
      </c>
      <c r="R44">
        <f t="shared" si="2"/>
        <v>11.914378556147474</v>
      </c>
      <c r="S44">
        <f t="shared" si="4"/>
        <v>8.1338265013890521E-3</v>
      </c>
      <c r="T44">
        <f t="shared" si="5"/>
        <v>8.8891960448762575E-3</v>
      </c>
    </row>
    <row r="45" spans="2:20" x14ac:dyDescent="0.25">
      <c r="B45">
        <f t="shared" si="6"/>
        <v>3.1000000000000014</v>
      </c>
      <c r="C45">
        <f t="shared" si="7"/>
        <v>11.906244729646085</v>
      </c>
      <c r="D45">
        <f t="shared" si="8"/>
        <v>2.2582414912826714</v>
      </c>
      <c r="F45">
        <v>3.1000000000000014</v>
      </c>
      <c r="G45">
        <v>11.905489360102598</v>
      </c>
      <c r="H45">
        <v>2.2586495460320926</v>
      </c>
      <c r="I45">
        <v>12.131354314705806</v>
      </c>
      <c r="J45">
        <v>2.1356056992803047</v>
      </c>
      <c r="L45">
        <v>3.2000000000000015</v>
      </c>
      <c r="M45">
        <v>12.13374729077724</v>
      </c>
      <c r="O45">
        <f t="shared" si="3"/>
        <v>3.2000000000000015</v>
      </c>
      <c r="P45">
        <f t="shared" ref="P45:P63" si="9">C46</f>
        <v>12.132068878774351</v>
      </c>
      <c r="Q45">
        <f t="shared" ref="Q45:Q63" si="10">G46</f>
        <v>12.125202122368218</v>
      </c>
      <c r="R45">
        <f t="shared" si="2"/>
        <v>12.13374729077724</v>
      </c>
      <c r="S45">
        <f t="shared" si="4"/>
        <v>1.6784120028887628E-3</v>
      </c>
      <c r="T45">
        <f t="shared" si="5"/>
        <v>8.5451684090216418E-3</v>
      </c>
    </row>
    <row r="46" spans="2:20" x14ac:dyDescent="0.25">
      <c r="B46">
        <f t="shared" si="6"/>
        <v>3.2000000000000015</v>
      </c>
      <c r="C46">
        <f t="shared" si="7"/>
        <v>12.132068878774351</v>
      </c>
      <c r="D46">
        <f t="shared" si="8"/>
        <v>2.1352131743793805</v>
      </c>
      <c r="F46">
        <v>3.2000000000000015</v>
      </c>
      <c r="G46">
        <v>12.125202122368218</v>
      </c>
      <c r="H46">
        <v>2.1389843843172045</v>
      </c>
      <c r="I46">
        <v>12.339100560799938</v>
      </c>
      <c r="J46">
        <v>2.0206356427483172</v>
      </c>
      <c r="L46">
        <v>3.3000000000000016</v>
      </c>
      <c r="M46">
        <v>12.34139092102674</v>
      </c>
      <c r="O46">
        <f t="shared" si="3"/>
        <v>3.3000000000000016</v>
      </c>
      <c r="P46">
        <f t="shared" si="9"/>
        <v>12.345590196212289</v>
      </c>
      <c r="Q46">
        <f t="shared" si="10"/>
        <v>12.333183123721495</v>
      </c>
      <c r="R46">
        <f t="shared" ref="R46:R63" si="11">M46</f>
        <v>12.34139092102674</v>
      </c>
      <c r="S46">
        <f t="shared" si="4"/>
        <v>4.1992751855488564E-3</v>
      </c>
      <c r="T46">
        <f t="shared" si="5"/>
        <v>8.2077973052445685E-3</v>
      </c>
    </row>
    <row r="47" spans="2:20" x14ac:dyDescent="0.25">
      <c r="B47">
        <f t="shared" si="6"/>
        <v>3.3000000000000016</v>
      </c>
      <c r="C47">
        <f t="shared" si="7"/>
        <v>12.345590196212289</v>
      </c>
      <c r="D47">
        <f t="shared" si="8"/>
        <v>2.0170168884547373</v>
      </c>
      <c r="F47">
        <v>3.3000000000000016</v>
      </c>
      <c r="G47">
        <v>12.333183123721495</v>
      </c>
      <c r="H47">
        <v>2.0239338970085576</v>
      </c>
      <c r="I47">
        <v>12.535576513422351</v>
      </c>
      <c r="J47">
        <v>1.9103545736725138</v>
      </c>
      <c r="L47">
        <v>3.4000000000000017</v>
      </c>
      <c r="M47">
        <v>12.537775268794393</v>
      </c>
      <c r="O47">
        <f t="shared" si="3"/>
        <v>3.4000000000000017</v>
      </c>
      <c r="P47">
        <f t="shared" si="9"/>
        <v>12.547291885057762</v>
      </c>
      <c r="Q47">
        <f t="shared" si="10"/>
        <v>12.529897547255549</v>
      </c>
      <c r="R47">
        <f t="shared" si="11"/>
        <v>12.537775268794393</v>
      </c>
      <c r="S47">
        <f t="shared" si="4"/>
        <v>9.51661626336886E-3</v>
      </c>
      <c r="T47">
        <f t="shared" si="5"/>
        <v>7.877721538843474E-3</v>
      </c>
    </row>
    <row r="48" spans="2:20" x14ac:dyDescent="0.25">
      <c r="B48">
        <f t="shared" si="6"/>
        <v>3.4000000000000017</v>
      </c>
      <c r="C48">
        <f t="shared" si="7"/>
        <v>12.547291885057762</v>
      </c>
      <c r="D48">
        <f t="shared" si="8"/>
        <v>1.903731948370158</v>
      </c>
      <c r="F48">
        <v>3.4000000000000017</v>
      </c>
      <c r="G48">
        <v>12.529897547255549</v>
      </c>
      <c r="H48">
        <v>1.9135629730713006</v>
      </c>
      <c r="I48">
        <v>12.72125384456268</v>
      </c>
      <c r="J48">
        <v>1.8047803937027247</v>
      </c>
      <c r="L48">
        <v>3.5000000000000018</v>
      </c>
      <c r="M48">
        <v>12.723370175592169</v>
      </c>
      <c r="O48">
        <f t="shared" si="3"/>
        <v>3.5000000000000018</v>
      </c>
      <c r="P48">
        <f t="shared" si="9"/>
        <v>12.737665079894777</v>
      </c>
      <c r="Q48">
        <f t="shared" si="10"/>
        <v>12.71581471559425</v>
      </c>
      <c r="R48">
        <f t="shared" si="11"/>
        <v>12.723370175592169</v>
      </c>
      <c r="S48">
        <f t="shared" si="4"/>
        <v>1.4294904302607492E-2</v>
      </c>
      <c r="T48">
        <f t="shared" si="5"/>
        <v>7.5554599979188453E-3</v>
      </c>
    </row>
    <row r="49" spans="2:20" x14ac:dyDescent="0.25">
      <c r="B49">
        <f t="shared" si="6"/>
        <v>3.5000000000000018</v>
      </c>
      <c r="C49">
        <f t="shared" si="7"/>
        <v>12.737665079894777</v>
      </c>
      <c r="D49">
        <f t="shared" si="8"/>
        <v>1.7953867230026361</v>
      </c>
      <c r="F49">
        <v>3.5000000000000018</v>
      </c>
      <c r="G49">
        <v>12.71581471559425</v>
      </c>
      <c r="H49">
        <v>1.8078914887148017</v>
      </c>
      <c r="I49">
        <v>12.89660386446573</v>
      </c>
      <c r="J49">
        <v>1.7038934110635928</v>
      </c>
      <c r="L49">
        <v>3.6000000000000019</v>
      </c>
      <c r="M49">
        <v>12.89864538727611</v>
      </c>
      <c r="O49">
        <f t="shared" si="3"/>
        <v>3.6000000000000019</v>
      </c>
      <c r="P49">
        <f t="shared" si="9"/>
        <v>12.917203752195041</v>
      </c>
      <c r="Q49">
        <f t="shared" si="10"/>
        <v>12.891403960583171</v>
      </c>
      <c r="R49">
        <f t="shared" si="11"/>
        <v>12.89864538727611</v>
      </c>
      <c r="S49">
        <f t="shared" si="4"/>
        <v>1.8558364918931147E-2</v>
      </c>
      <c r="T49">
        <f t="shared" si="5"/>
        <v>7.2414266929392568E-3</v>
      </c>
    </row>
    <row r="50" spans="2:20" x14ac:dyDescent="0.25">
      <c r="B50">
        <f t="shared" si="6"/>
        <v>3.6000000000000019</v>
      </c>
      <c r="C50">
        <f t="shared" si="7"/>
        <v>12.917203752195041</v>
      </c>
      <c r="D50">
        <f t="shared" si="8"/>
        <v>1.6919667948131476</v>
      </c>
      <c r="F50">
        <v>3.6000000000000019</v>
      </c>
      <c r="G50">
        <v>12.891403960583171</v>
      </c>
      <c r="H50">
        <v>1.7069015109238634</v>
      </c>
      <c r="I50">
        <v>13.062094111675558</v>
      </c>
      <c r="J50">
        <v>1.607642676351805</v>
      </c>
      <c r="L50">
        <v>3.700000000000002</v>
      </c>
      <c r="M50">
        <v>13.06406711377274</v>
      </c>
      <c r="O50">
        <f t="shared" si="3"/>
        <v>3.700000000000002</v>
      </c>
      <c r="P50">
        <f t="shared" si="9"/>
        <v>13.086400431676356</v>
      </c>
      <c r="Q50">
        <f t="shared" si="10"/>
        <v>13.057131169946954</v>
      </c>
      <c r="R50">
        <f t="shared" si="11"/>
        <v>13.06406711377274</v>
      </c>
      <c r="S50">
        <f t="shared" si="4"/>
        <v>2.2333317903616035E-2</v>
      </c>
      <c r="T50">
        <f t="shared" si="5"/>
        <v>6.9359438257858841E-3</v>
      </c>
    </row>
    <row r="51" spans="2:20" x14ac:dyDescent="0.25">
      <c r="B51">
        <f t="shared" si="6"/>
        <v>3.700000000000002</v>
      </c>
      <c r="C51">
        <f t="shared" si="7"/>
        <v>13.086400431676356</v>
      </c>
      <c r="D51">
        <f t="shared" si="8"/>
        <v>1.593422167335433</v>
      </c>
      <c r="F51">
        <v>3.700000000000002</v>
      </c>
      <c r="G51">
        <v>13.057131169946954</v>
      </c>
      <c r="H51">
        <v>1.6105436434574898</v>
      </c>
      <c r="I51">
        <v>13.218185534292703</v>
      </c>
      <c r="J51">
        <v>1.5159515366427136</v>
      </c>
      <c r="L51">
        <v>3.800000000000002</v>
      </c>
      <c r="M51">
        <v>13.220095182146425</v>
      </c>
      <c r="O51">
        <f t="shared" si="3"/>
        <v>3.800000000000002</v>
      </c>
      <c r="P51">
        <f t="shared" si="9"/>
        <v>13.2457426484099</v>
      </c>
      <c r="Q51">
        <f t="shared" si="10"/>
        <v>13.213455928951964</v>
      </c>
      <c r="R51">
        <f t="shared" si="11"/>
        <v>13.220095182146425</v>
      </c>
      <c r="S51">
        <f t="shared" si="4"/>
        <v>2.5647466263475138E-2</v>
      </c>
      <c r="T51">
        <f t="shared" si="5"/>
        <v>6.6392531944607924E-3</v>
      </c>
    </row>
    <row r="52" spans="2:20" x14ac:dyDescent="0.25">
      <c r="B52">
        <f t="shared" si="6"/>
        <v>3.800000000000002</v>
      </c>
      <c r="C52">
        <f t="shared" si="7"/>
        <v>13.2457426484099</v>
      </c>
      <c r="D52">
        <f t="shared" si="8"/>
        <v>1.4996735991449306</v>
      </c>
      <c r="F52">
        <v>3.800000000000002</v>
      </c>
      <c r="G52">
        <v>13.213455928951964</v>
      </c>
      <c r="H52">
        <v>1.5187425936075094</v>
      </c>
      <c r="I52">
        <v>13.365330188312715</v>
      </c>
      <c r="J52">
        <v>1.4287224840271868</v>
      </c>
      <c r="L52">
        <v>3.9000000000000021</v>
      </c>
      <c r="M52">
        <v>13.367180709020195</v>
      </c>
      <c r="O52">
        <f t="shared" si="3"/>
        <v>3.9000000000000021</v>
      </c>
      <c r="P52">
        <f t="shared" si="9"/>
        <v>13.395710008324393</v>
      </c>
      <c r="Q52">
        <f t="shared" si="10"/>
        <v>13.360829182833699</v>
      </c>
      <c r="R52">
        <f t="shared" si="11"/>
        <v>13.367180709020195</v>
      </c>
      <c r="S52">
        <f t="shared" si="4"/>
        <v>2.8529299304198119E-2</v>
      </c>
      <c r="T52">
        <f t="shared" si="5"/>
        <v>6.351526186495704E-3</v>
      </c>
    </row>
    <row r="53" spans="2:20" x14ac:dyDescent="0.25">
      <c r="B53">
        <f t="shared" si="6"/>
        <v>3.9000000000000021</v>
      </c>
      <c r="C53">
        <f t="shared" si="7"/>
        <v>13.395710008324393</v>
      </c>
      <c r="D53">
        <f t="shared" si="8"/>
        <v>1.4106181424585671</v>
      </c>
      <c r="F53">
        <v>3.9000000000000021</v>
      </c>
      <c r="G53">
        <v>13.360829182833699</v>
      </c>
      <c r="H53">
        <v>1.431402034820092</v>
      </c>
      <c r="I53">
        <v>13.503969386315708</v>
      </c>
      <c r="J53">
        <v>1.3458413703676015</v>
      </c>
      <c r="L53">
        <v>4.0000000000000018</v>
      </c>
      <c r="M53">
        <v>13.505764225663038</v>
      </c>
      <c r="O53">
        <f t="shared" si="3"/>
        <v>4.0000000000000018</v>
      </c>
      <c r="P53">
        <f t="shared" si="9"/>
        <v>13.53677182257025</v>
      </c>
      <c r="Q53">
        <f t="shared" si="10"/>
        <v>13.499691353093084</v>
      </c>
      <c r="R53">
        <f t="shared" si="11"/>
        <v>13.505764225663038</v>
      </c>
      <c r="S53">
        <f t="shared" si="4"/>
        <v>3.1007596907212331E-2</v>
      </c>
      <c r="T53">
        <f t="shared" si="5"/>
        <v>6.0728725699537023E-3</v>
      </c>
    </row>
    <row r="54" spans="2:20" x14ac:dyDescent="0.25">
      <c r="B54">
        <f t="shared" si="6"/>
        <v>4.0000000000000018</v>
      </c>
      <c r="C54">
        <f t="shared" si="7"/>
        <v>13.53677182257025</v>
      </c>
      <c r="D54">
        <f t="shared" si="8"/>
        <v>1.3261339623059705</v>
      </c>
      <c r="F54">
        <v>4.0000000000000018</v>
      </c>
      <c r="G54">
        <v>13.499691353093084</v>
      </c>
      <c r="H54">
        <v>1.3484088362075894</v>
      </c>
      <c r="I54">
        <v>13.634532236713843</v>
      </c>
      <c r="J54">
        <v>1.2671810552488836</v>
      </c>
      <c r="L54">
        <v>4.1000000000000014</v>
      </c>
      <c r="M54">
        <v>13.636274195920459</v>
      </c>
      <c r="O54">
        <f t="shared" si="3"/>
        <v>4.1000000000000014</v>
      </c>
      <c r="P54">
        <f t="shared" si="9"/>
        <v>13.669385218800848</v>
      </c>
      <c r="Q54">
        <f t="shared" si="10"/>
        <v>13.630470847665908</v>
      </c>
      <c r="R54">
        <f t="shared" si="11"/>
        <v>13.636274195920459</v>
      </c>
      <c r="S54">
        <f t="shared" si="4"/>
        <v>3.3111022880389029E-2</v>
      </c>
      <c r="T54">
        <f t="shared" si="5"/>
        <v>5.8033482545507553E-3</v>
      </c>
    </row>
    <row r="55" spans="2:20" x14ac:dyDescent="0.25">
      <c r="B55">
        <f t="shared" si="6"/>
        <v>4.1000000000000014</v>
      </c>
      <c r="C55">
        <f t="shared" si="7"/>
        <v>13.669385218800848</v>
      </c>
      <c r="D55">
        <f t="shared" si="8"/>
        <v>1.2460845087676979</v>
      </c>
      <c r="F55">
        <v>4.1000000000000014</v>
      </c>
      <c r="G55">
        <v>13.630470847665908</v>
      </c>
      <c r="H55">
        <v>1.2696367253669685</v>
      </c>
      <c r="I55">
        <v>13.757434520202604</v>
      </c>
      <c r="J55">
        <v>1.1926045490578616</v>
      </c>
      <c r="L55">
        <v>4.2000000000000011</v>
      </c>
      <c r="M55">
        <v>13.759125873552966</v>
      </c>
      <c r="O55">
        <f t="shared" si="3"/>
        <v>4.2000000000000011</v>
      </c>
      <c r="P55">
        <f t="shared" si="9"/>
        <v>13.793993669677617</v>
      </c>
      <c r="Q55">
        <f t="shared" si="10"/>
        <v>13.753582911387149</v>
      </c>
      <c r="R55">
        <f t="shared" si="11"/>
        <v>13.759125873552966</v>
      </c>
      <c r="S55">
        <f t="shared" si="4"/>
        <v>3.4867796124650852E-2</v>
      </c>
      <c r="T55">
        <f t="shared" si="5"/>
        <v>5.5429621658174E-3</v>
      </c>
    </row>
    <row r="56" spans="2:20" x14ac:dyDescent="0.25">
      <c r="B56">
        <f t="shared" si="6"/>
        <v>4.2000000000000011</v>
      </c>
      <c r="C56">
        <f t="shared" si="7"/>
        <v>13.793993669677617</v>
      </c>
      <c r="D56">
        <f t="shared" si="8"/>
        <v>1.1703221105308721</v>
      </c>
      <c r="F56">
        <v>4.2000000000000011</v>
      </c>
      <c r="G56">
        <v>13.753582911387149</v>
      </c>
      <c r="H56">
        <v>1.1949494460355794</v>
      </c>
      <c r="I56">
        <v>13.873077855990706</v>
      </c>
      <c r="J56">
        <v>1.1219677080367489</v>
      </c>
      <c r="L56">
        <v>4.3000000000000007</v>
      </c>
      <c r="M56">
        <v>13.874720451441632</v>
      </c>
      <c r="O56">
        <f t="shared" si="3"/>
        <v>4.3000000000000007</v>
      </c>
      <c r="P56">
        <f t="shared" si="9"/>
        <v>13.911025880730705</v>
      </c>
      <c r="Q56">
        <f t="shared" si="10"/>
        <v>13.869428769090765</v>
      </c>
      <c r="R56">
        <f t="shared" si="11"/>
        <v>13.874720451441632</v>
      </c>
      <c r="S56">
        <f t="shared" si="4"/>
        <v>3.6305429289072322E-2</v>
      </c>
      <c r="T56">
        <f t="shared" si="5"/>
        <v>5.2916823508670774E-3</v>
      </c>
    </row>
    <row r="57" spans="2:20" x14ac:dyDescent="0.25">
      <c r="B57">
        <f t="shared" si="6"/>
        <v>4.3000000000000007</v>
      </c>
      <c r="C57">
        <f t="shared" si="7"/>
        <v>13.911025880730705</v>
      </c>
      <c r="D57">
        <f t="shared" si="8"/>
        <v>1.0986910532996106</v>
      </c>
      <c r="F57">
        <v>4.3000000000000007</v>
      </c>
      <c r="G57">
        <v>13.869428769090765</v>
      </c>
      <c r="H57">
        <v>1.1242034671498651</v>
      </c>
      <c r="I57">
        <v>13.981849115805751</v>
      </c>
      <c r="J57">
        <v>1.0551215331568677</v>
      </c>
      <c r="L57">
        <v>4.4000000000000004</v>
      </c>
      <c r="M57">
        <v>13.983444460520488</v>
      </c>
      <c r="O57">
        <f t="shared" si="3"/>
        <v>4.4000000000000004</v>
      </c>
      <c r="P57">
        <f t="shared" si="9"/>
        <v>14.020894986060666</v>
      </c>
      <c r="Q57">
        <f t="shared" si="10"/>
        <v>13.978395019106102</v>
      </c>
      <c r="R57">
        <f t="shared" si="11"/>
        <v>13.983444460520488</v>
      </c>
      <c r="S57">
        <f t="shared" si="4"/>
        <v>3.7450525540178248E-2</v>
      </c>
      <c r="T57">
        <f t="shared" si="5"/>
        <v>5.0494414143855693E-3</v>
      </c>
    </row>
    <row r="58" spans="2:20" x14ac:dyDescent="0.25">
      <c r="B58">
        <f t="shared" si="6"/>
        <v>4.4000000000000004</v>
      </c>
      <c r="C58">
        <f t="shared" si="7"/>
        <v>14.020894986060666</v>
      </c>
      <c r="D58">
        <f t="shared" si="8"/>
        <v>1.0310302016629258</v>
      </c>
      <c r="F58">
        <v>4.4000000000000004</v>
      </c>
      <c r="G58">
        <v>13.978395019106102</v>
      </c>
      <c r="H58">
        <v>1.057250294966682</v>
      </c>
      <c r="I58">
        <v>14.08412004860277</v>
      </c>
      <c r="J58">
        <v>0.99191411983959199</v>
      </c>
      <c r="L58">
        <v>4.5</v>
      </c>
      <c r="M58">
        <v>14.085669381214011</v>
      </c>
      <c r="O58">
        <f t="shared" si="3"/>
        <v>4.5</v>
      </c>
      <c r="P58">
        <f t="shared" si="9"/>
        <v>14.123998006226959</v>
      </c>
      <c r="Q58">
        <f t="shared" si="10"/>
        <v>14.080853239846416</v>
      </c>
      <c r="R58">
        <f t="shared" si="11"/>
        <v>14.085669381214011</v>
      </c>
      <c r="S58">
        <f t="shared" si="4"/>
        <v>3.8328625012947981E-2</v>
      </c>
      <c r="T58">
        <f t="shared" si="5"/>
        <v>4.816141367594895E-3</v>
      </c>
    </row>
    <row r="59" spans="2:20" x14ac:dyDescent="0.25">
      <c r="B59">
        <f t="shared" si="6"/>
        <v>4.5</v>
      </c>
      <c r="C59">
        <f t="shared" si="7"/>
        <v>14.123998006226959</v>
      </c>
      <c r="D59">
        <f t="shared" si="8"/>
        <v>0.96717521805125273</v>
      </c>
      <c r="F59">
        <v>4.5</v>
      </c>
      <c r="G59">
        <v>14.080853239846416</v>
      </c>
      <c r="H59">
        <v>0.99393843515955638</v>
      </c>
      <c r="I59">
        <v>14.180247083362371</v>
      </c>
      <c r="J59">
        <v>0.93219230097568584</v>
      </c>
      <c r="L59">
        <v>4.5999999999999996</v>
      </c>
      <c r="M59">
        <v>14.181751434612906</v>
      </c>
      <c r="O59">
        <f t="shared" si="3"/>
        <v>4.5999999999999996</v>
      </c>
      <c r="P59">
        <f t="shared" si="9"/>
        <v>14.220715528032084</v>
      </c>
      <c r="Q59">
        <f t="shared" si="10"/>
        <v>14.177159776653179</v>
      </c>
      <c r="R59">
        <f t="shared" si="11"/>
        <v>14.181751434612906</v>
      </c>
      <c r="S59">
        <f t="shared" si="4"/>
        <v>3.896409341917817E-2</v>
      </c>
      <c r="T59">
        <f t="shared" si="5"/>
        <v>4.5916579597271578E-3</v>
      </c>
    </row>
    <row r="60" spans="2:20" x14ac:dyDescent="0.25">
      <c r="B60">
        <f t="shared" si="6"/>
        <v>4.5999999999999996</v>
      </c>
      <c r="C60">
        <f t="shared" si="7"/>
        <v>14.220715528032084</v>
      </c>
      <c r="D60">
        <f t="shared" si="8"/>
        <v>0.9069604275348766</v>
      </c>
      <c r="F60">
        <v>4.5999999999999996</v>
      </c>
      <c r="G60">
        <v>14.177159776653179</v>
      </c>
      <c r="H60">
        <v>0.93411504727999173</v>
      </c>
      <c r="I60">
        <v>14.270571281381178</v>
      </c>
      <c r="J60">
        <v>0.87580302139923205</v>
      </c>
      <c r="L60">
        <v>4.6999999999999993</v>
      </c>
      <c r="M60">
        <v>14.272031524637974</v>
      </c>
      <c r="O60">
        <f t="shared" si="3"/>
        <v>4.6999999999999993</v>
      </c>
      <c r="P60">
        <f t="shared" si="9"/>
        <v>14.311411570785571</v>
      </c>
      <c r="Q60">
        <f t="shared" si="10"/>
        <v>14.26765568008714</v>
      </c>
      <c r="R60">
        <f t="shared" si="11"/>
        <v>14.272031524637974</v>
      </c>
      <c r="S60">
        <f t="shared" si="4"/>
        <v>3.938004614759727E-2</v>
      </c>
      <c r="T60">
        <f t="shared" si="5"/>
        <v>4.3758445508341737E-3</v>
      </c>
    </row>
    <row r="61" spans="2:20" x14ac:dyDescent="0.25">
      <c r="B61">
        <f t="shared" si="6"/>
        <v>4.6999999999999993</v>
      </c>
      <c r="C61">
        <f t="shared" si="7"/>
        <v>14.311411570785571</v>
      </c>
      <c r="D61">
        <f t="shared" si="8"/>
        <v>0.85022037252487692</v>
      </c>
      <c r="F61">
        <v>4.6999999999999993</v>
      </c>
      <c r="G61">
        <v>14.26765568008714</v>
      </c>
      <c r="H61">
        <v>0.87762732971923896</v>
      </c>
      <c r="I61">
        <v>14.355418413059065</v>
      </c>
      <c r="J61">
        <v>0.82259447798012886</v>
      </c>
      <c r="L61">
        <v>4.7999999999999989</v>
      </c>
      <c r="M61">
        <v>14.356835306048318</v>
      </c>
      <c r="O61">
        <f t="shared" si="3"/>
        <v>4.7999999999999989</v>
      </c>
      <c r="P61">
        <f t="shared" si="9"/>
        <v>14.396433608038059</v>
      </c>
      <c r="Q61">
        <f t="shared" si="10"/>
        <v>14.352666770472108</v>
      </c>
      <c r="R61">
        <f t="shared" si="11"/>
        <v>14.356835306048318</v>
      </c>
      <c r="S61">
        <f t="shared" si="4"/>
        <v>3.9598301989741458E-2</v>
      </c>
      <c r="T61">
        <f t="shared" si="5"/>
        <v>4.1685355762091092E-3</v>
      </c>
    </row>
    <row r="62" spans="2:20" x14ac:dyDescent="0.25">
      <c r="B62">
        <f t="shared" si="6"/>
        <v>4.7999999999999989</v>
      </c>
      <c r="C62">
        <f t="shared" si="7"/>
        <v>14.396433608038059</v>
      </c>
      <c r="D62">
        <f t="shared" si="8"/>
        <v>0.79679109699213058</v>
      </c>
      <c r="F62">
        <v>4.7999999999999989</v>
      </c>
      <c r="G62">
        <v>14.352666770472108</v>
      </c>
      <c r="H62">
        <v>0.82432366934247625</v>
      </c>
      <c r="I62">
        <v>14.435099137406356</v>
      </c>
      <c r="J62">
        <v>0.77241705581742437</v>
      </c>
      <c r="L62">
        <v>4.8999999999999986</v>
      </c>
      <c r="M62">
        <v>14.436473356375718</v>
      </c>
      <c r="O62">
        <f t="shared" si="3"/>
        <v>4.8999999999999986</v>
      </c>
      <c r="P62">
        <f t="shared" si="9"/>
        <v>14.476112717737273</v>
      </c>
      <c r="Q62">
        <f t="shared" si="10"/>
        <v>14.432503806730104</v>
      </c>
      <c r="R62">
        <f t="shared" si="11"/>
        <v>14.436473356375718</v>
      </c>
      <c r="S62">
        <f t="shared" si="4"/>
        <v>3.9639361361555103E-2</v>
      </c>
      <c r="T62">
        <f t="shared" si="5"/>
        <v>3.9695496456140233E-3</v>
      </c>
    </row>
    <row r="63" spans="2:20" x14ac:dyDescent="0.25">
      <c r="B63">
        <f t="shared" si="6"/>
        <v>4.8999999999999986</v>
      </c>
      <c r="C63">
        <f t="shared" si="7"/>
        <v>14.476112717737273</v>
      </c>
      <c r="D63">
        <f t="shared" si="8"/>
        <v>0.746511195658627</v>
      </c>
      <c r="F63">
        <v>4.8999999999999986</v>
      </c>
      <c r="G63">
        <v>14.432503806730104</v>
      </c>
      <c r="H63">
        <v>0.77405458630641633</v>
      </c>
      <c r="I63">
        <v>14.509909265360745</v>
      </c>
      <c r="J63">
        <v>0.72512408764258041</v>
      </c>
      <c r="L63" s="14">
        <v>4.9999999999999982</v>
      </c>
      <c r="M63" s="14">
        <v>14.511241432742152</v>
      </c>
      <c r="O63">
        <f t="shared" si="3"/>
        <v>4.9999999999999982</v>
      </c>
      <c r="P63">
        <f t="shared" si="9"/>
        <v>14.550763837303135</v>
      </c>
      <c r="Q63">
        <f t="shared" si="10"/>
        <v>14.507462740427554</v>
      </c>
      <c r="R63">
        <f t="shared" si="11"/>
        <v>14.511241432742152</v>
      </c>
      <c r="S63">
        <f t="shared" si="4"/>
        <v>3.9522404560983659E-2</v>
      </c>
      <c r="T63">
        <f t="shared" si="5"/>
        <v>3.7786923145972651E-3</v>
      </c>
    </row>
    <row r="64" spans="2:20" x14ac:dyDescent="0.25">
      <c r="B64" s="14">
        <f t="shared" si="6"/>
        <v>4.9999999999999982</v>
      </c>
      <c r="C64" s="14">
        <f t="shared" si="7"/>
        <v>14.550763837303135</v>
      </c>
      <c r="D64">
        <f t="shared" si="8"/>
        <v>0.69922265975866793</v>
      </c>
      <c r="F64" s="14">
        <v>4.9999999999999982</v>
      </c>
      <c r="G64" s="14">
        <v>14.507462740427554</v>
      </c>
      <c r="H64">
        <v>0.72667350121235685</v>
      </c>
      <c r="I64">
        <v>14.58013009054879</v>
      </c>
      <c r="J64">
        <v>0.68057246046981135</v>
      </c>
    </row>
  </sheetData>
  <mergeCells count="4">
    <mergeCell ref="B2:M2"/>
    <mergeCell ref="B4:D4"/>
    <mergeCell ref="F4:J4"/>
    <mergeCell ref="O10:T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E7F8B-A066-42D2-825C-84294BDD5CDA}">
  <dimension ref="B2:AA415"/>
  <sheetViews>
    <sheetView zoomScale="25" workbookViewId="0">
      <selection activeCell="K419" sqref="K419"/>
    </sheetView>
  </sheetViews>
  <sheetFormatPr baseColWidth="10" defaultRowHeight="15" x14ac:dyDescent="0.25"/>
  <cols>
    <col min="2" max="2" width="16.7109375" customWidth="1"/>
    <col min="3" max="3" width="15.5703125" customWidth="1"/>
    <col min="4" max="4" width="35" customWidth="1"/>
    <col min="5" max="5" width="14.85546875" customWidth="1"/>
    <col min="6" max="6" width="9.5703125" customWidth="1"/>
    <col min="7" max="7" width="14.5703125" customWidth="1"/>
    <col min="8" max="8" width="17.7109375" customWidth="1"/>
    <col min="9" max="9" width="17.5703125" customWidth="1"/>
    <col min="10" max="10" width="17.7109375" customWidth="1"/>
    <col min="12" max="12" width="8.7109375" customWidth="1"/>
    <col min="13" max="13" width="16.28515625" customWidth="1"/>
    <col min="14" max="14" width="16.42578125" customWidth="1"/>
    <col min="15" max="15" width="17.7109375" customWidth="1"/>
    <col min="16" max="16" width="18.140625" customWidth="1"/>
    <col min="17" max="17" width="17.7109375" customWidth="1"/>
    <col min="20" max="20" width="17.7109375" customWidth="1"/>
    <col min="21" max="21" width="18" customWidth="1"/>
    <col min="22" max="22" width="18.42578125" customWidth="1"/>
    <col min="23" max="23" width="19.42578125" customWidth="1"/>
    <col min="24" max="24" width="20.42578125" customWidth="1"/>
    <col min="26" max="26" width="23.85546875" customWidth="1"/>
    <col min="27" max="27" width="20.5703125" customWidth="1"/>
  </cols>
  <sheetData>
    <row r="2" spans="2:27" ht="26.25" x14ac:dyDescent="0.4">
      <c r="B2" s="19" t="s">
        <v>53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</row>
    <row r="4" spans="2:27" x14ac:dyDescent="0.25">
      <c r="B4" t="s">
        <v>0</v>
      </c>
    </row>
    <row r="5" spans="2:27" x14ac:dyDescent="0.25">
      <c r="B5" s="1" t="s">
        <v>29</v>
      </c>
      <c r="C5">
        <v>0.3</v>
      </c>
    </row>
    <row r="6" spans="2:27" x14ac:dyDescent="0.25">
      <c r="B6" s="1" t="s">
        <v>30</v>
      </c>
      <c r="C6">
        <v>300</v>
      </c>
    </row>
    <row r="7" spans="2:27" x14ac:dyDescent="0.25">
      <c r="B7" s="1" t="s">
        <v>31</v>
      </c>
      <c r="C7">
        <v>1</v>
      </c>
    </row>
    <row r="8" spans="2:27" x14ac:dyDescent="0.25">
      <c r="B8" s="1" t="s">
        <v>32</v>
      </c>
      <c r="C8">
        <v>0</v>
      </c>
    </row>
    <row r="9" spans="2:27" x14ac:dyDescent="0.25">
      <c r="B9" s="1" t="s">
        <v>33</v>
      </c>
      <c r="C9">
        <v>400</v>
      </c>
    </row>
    <row r="10" spans="2:27" x14ac:dyDescent="0.25">
      <c r="B10" s="1" t="s">
        <v>4</v>
      </c>
      <c r="C10">
        <v>1</v>
      </c>
    </row>
    <row r="12" spans="2:27" x14ac:dyDescent="0.25">
      <c r="B12" s="20" t="s">
        <v>34</v>
      </c>
      <c r="C12" s="20"/>
      <c r="D12" s="20"/>
      <c r="F12" s="21" t="s">
        <v>38</v>
      </c>
      <c r="G12" s="21"/>
      <c r="H12" s="21"/>
      <c r="I12" s="21"/>
      <c r="J12" s="21"/>
      <c r="L12" s="22" t="s">
        <v>43</v>
      </c>
      <c r="M12" s="22"/>
      <c r="N12" s="22"/>
      <c r="O12" s="22"/>
      <c r="P12" s="22"/>
      <c r="Q12" s="22"/>
      <c r="S12" s="23" t="s">
        <v>54</v>
      </c>
      <c r="T12" s="23"/>
      <c r="U12" s="23"/>
      <c r="V12" s="23"/>
      <c r="W12" s="23"/>
      <c r="X12" s="23"/>
    </row>
    <row r="14" spans="2:27" x14ac:dyDescent="0.25">
      <c r="B14" s="9" t="s">
        <v>35</v>
      </c>
      <c r="C14" s="9" t="s">
        <v>36</v>
      </c>
      <c r="D14" s="9" t="s">
        <v>37</v>
      </c>
      <c r="F14" s="10" t="s">
        <v>9</v>
      </c>
      <c r="G14" s="10" t="s">
        <v>39</v>
      </c>
      <c r="H14" s="10" t="s">
        <v>40</v>
      </c>
      <c r="I14" s="10" t="s">
        <v>41</v>
      </c>
      <c r="J14" s="10" t="s">
        <v>42</v>
      </c>
      <c r="L14" s="11" t="s">
        <v>9</v>
      </c>
      <c r="M14" s="11" t="s">
        <v>44</v>
      </c>
      <c r="N14" s="11" t="s">
        <v>45</v>
      </c>
      <c r="O14" s="11" t="s">
        <v>46</v>
      </c>
      <c r="P14" s="11" t="s">
        <v>47</v>
      </c>
      <c r="Q14" s="11" t="s">
        <v>48</v>
      </c>
      <c r="S14" s="12" t="s">
        <v>9</v>
      </c>
      <c r="T14" s="12" t="s">
        <v>16</v>
      </c>
      <c r="U14" s="12" t="s">
        <v>17</v>
      </c>
      <c r="V14" s="12" t="s">
        <v>49</v>
      </c>
      <c r="W14" s="12" t="s">
        <v>21</v>
      </c>
      <c r="X14" s="12" t="s">
        <v>22</v>
      </c>
      <c r="Z14" s="13" t="s">
        <v>23</v>
      </c>
      <c r="AA14" s="13">
        <f>MAX(W15:W415)</f>
        <v>2.622268667299636</v>
      </c>
    </row>
    <row r="15" spans="2:27" x14ac:dyDescent="0.25">
      <c r="B15">
        <f>C8</f>
        <v>0</v>
      </c>
      <c r="C15">
        <f>C7</f>
        <v>1</v>
      </c>
      <c r="D15">
        <f>0.3*(C15^(3/4))*(1-(C15/300)^(1/4))</f>
        <v>0.22791565757595736</v>
      </c>
      <c r="F15">
        <f>C8</f>
        <v>0</v>
      </c>
      <c r="G15">
        <f>C7</f>
        <v>1</v>
      </c>
      <c r="H15">
        <f t="shared" ref="H15:H78" si="0">0.3*(G15^(3/4))*(1-(G15/300)^(1/4))</f>
        <v>0.22791565757595736</v>
      </c>
      <c r="I15">
        <f t="shared" ref="I15:I78" si="1">G15+$C$10*H15</f>
        <v>1.2279156575759573</v>
      </c>
      <c r="J15">
        <f t="shared" ref="J15:J78" si="2">0.3*(I15^(3/4))*(1-(I15/300)^(1/4))</f>
        <v>0.26142978688865237</v>
      </c>
      <c r="L15">
        <v>0</v>
      </c>
      <c r="M15">
        <v>1</v>
      </c>
      <c r="N15">
        <f>$C$10*0.3*(M15^(3/4))*(1-(M15/300)^(1/4))</f>
        <v>0.22791565757595736</v>
      </c>
      <c r="O15">
        <f>$C$10*0.3*((M15+N15/2)^(3/4))*(1-((M15+N15/2)/300)^(1/4))</f>
        <v>0.24499265889536484</v>
      </c>
      <c r="P15">
        <f>$C$10*0.3*((M15+O15/2)^(3/4))*(1-((M15+O15/2)/300)^(1/4))</f>
        <v>0.24624540366402239</v>
      </c>
      <c r="Q15">
        <f>$C$10*0.3*((M15+P15)^(3/4))*(1-((M15+P15)/300)^(1/4))</f>
        <v>0.26401907505998323</v>
      </c>
      <c r="S15">
        <v>0</v>
      </c>
      <c r="T15">
        <f t="shared" ref="T15:T78" si="3">C15</f>
        <v>1</v>
      </c>
      <c r="U15">
        <f t="shared" ref="U15:U78" si="4">G15</f>
        <v>1</v>
      </c>
      <c r="V15">
        <f t="shared" ref="V15:V78" si="5">M15</f>
        <v>1</v>
      </c>
      <c r="W15">
        <f>ABS(T15-V15)</f>
        <v>0</v>
      </c>
      <c r="X15">
        <f>ABS(U15-V15)</f>
        <v>0</v>
      </c>
      <c r="Z15" s="13" t="s">
        <v>24</v>
      </c>
      <c r="AA15" s="13">
        <f>MAX(X15:X415)</f>
        <v>8.6733331621573484E-2</v>
      </c>
    </row>
    <row r="16" spans="2:27" x14ac:dyDescent="0.25">
      <c r="B16">
        <f>B15+$C$10</f>
        <v>1</v>
      </c>
      <c r="C16">
        <f>C15+$C$10*D15</f>
        <v>1.2279156575759573</v>
      </c>
      <c r="D16">
        <f>0.3*(C16^(3/4))*(1-(C16/300)^(1/4))</f>
        <v>0.26142978688865237</v>
      </c>
      <c r="F16">
        <f t="shared" ref="F16:F79" si="6">F15+$C$10</f>
        <v>1</v>
      </c>
      <c r="G16">
        <f t="shared" ref="G16:G79" si="7">G15+$C$10/2*(H15+J15)</f>
        <v>1.2446727222323049</v>
      </c>
      <c r="H16">
        <f t="shared" si="0"/>
        <v>0.26379748232932554</v>
      </c>
      <c r="I16">
        <f t="shared" si="1"/>
        <v>1.5084702045616303</v>
      </c>
      <c r="J16">
        <f t="shared" si="2"/>
        <v>0.29960468728953005</v>
      </c>
      <c r="L16">
        <f>L15+$C$10</f>
        <v>1</v>
      </c>
      <c r="M16">
        <f>M15 + (1/6)*(N15+2*O15+2*P15+Q15)</f>
        <v>1.2457351429591192</v>
      </c>
      <c r="N16">
        <f>$C$10*0.3*(M16^(3/4))*(1-(M16/300)^(1/4))</f>
        <v>0.26394719029193092</v>
      </c>
      <c r="O16">
        <f>$C$10*0.3*((M16+N16/2)^(3/4))*(1-((M16+N16/2)/300)^(1/4))</f>
        <v>0.28218417923219646</v>
      </c>
      <c r="P16">
        <f>$C$10*0.3*((M16+O16/2)^(3/4))*(1-((M16+O16/2)/300)^(1/4))</f>
        <v>0.28341903848287164</v>
      </c>
      <c r="Q16">
        <f>$C$10*0.3*((M16+P16)^(3/4))*(1-((M16+P16)/300)^(1/4))</f>
        <v>0.30230589253870604</v>
      </c>
      <c r="S16">
        <f>S15+1</f>
        <v>1</v>
      </c>
      <c r="T16">
        <f t="shared" si="3"/>
        <v>1.2279156575759573</v>
      </c>
      <c r="U16">
        <f t="shared" si="4"/>
        <v>1.2446727222323049</v>
      </c>
      <c r="V16">
        <f t="shared" si="5"/>
        <v>1.2457351429591192</v>
      </c>
      <c r="W16">
        <f>ABS(T16-V16)</f>
        <v>1.7819485383161915E-2</v>
      </c>
      <c r="X16">
        <f>ABS(U16-V16)</f>
        <v>1.0624207268143948E-3</v>
      </c>
      <c r="Z16" s="13" t="s">
        <v>25</v>
      </c>
      <c r="AA16" s="13">
        <f>AVERAGE(W15:W415)</f>
        <v>0.67132409500585266</v>
      </c>
    </row>
    <row r="17" spans="2:27" x14ac:dyDescent="0.25">
      <c r="B17">
        <f t="shared" ref="B17:B80" si="8">B16+$C$10</f>
        <v>2</v>
      </c>
      <c r="C17">
        <f t="shared" ref="C17:C80" si="9">C16+$C$10*D16</f>
        <v>1.4893454444646097</v>
      </c>
      <c r="D17">
        <f t="shared" ref="D17:D80" si="10">0.3*(C17^(3/4))*(1-(C17/300)^(1/4))</f>
        <v>0.29709430310447643</v>
      </c>
      <c r="F17">
        <f t="shared" si="6"/>
        <v>2</v>
      </c>
      <c r="G17">
        <f t="shared" si="7"/>
        <v>1.5263738070417325</v>
      </c>
      <c r="H17">
        <f t="shared" si="0"/>
        <v>0.3019436206908096</v>
      </c>
      <c r="I17">
        <f t="shared" si="1"/>
        <v>1.828317427732542</v>
      </c>
      <c r="J17">
        <f t="shared" si="2"/>
        <v>0.33990050818665823</v>
      </c>
      <c r="L17">
        <f t="shared" ref="L17:L80" si="11">L16+$C$10</f>
        <v>2</v>
      </c>
      <c r="M17">
        <f t="shared" ref="M17:M80" si="12">M16 + (1/6)*(N16+2*O16+2*P16+Q16)</f>
        <v>1.528645062669248</v>
      </c>
      <c r="N17">
        <f t="shared" ref="N17:N80" si="13">$C$10*0.3*(M17^(3/4))*(1-(M17/300)^(1/4))</f>
        <v>0.30223957550790415</v>
      </c>
      <c r="O17">
        <f t="shared" ref="O17:O80" si="14">$C$10*0.3*((M17+N17/2)^(3/4))*(1-((M17+N17/2)/300)^(1/4))</f>
        <v>0.32156235369078573</v>
      </c>
      <c r="P17">
        <f t="shared" ref="P17:P80" si="15">$C$10*0.3*((M17+O17/2)^(3/4))*(1-((M17+O17/2)/300)^(1/4))</f>
        <v>0.32277400665578515</v>
      </c>
      <c r="Q17">
        <f t="shared" ref="Q17:Q80" si="16">$C$10*0.3*((M17+P17)^(3/4))*(1-((M17+P17)/300)^(1/4))</f>
        <v>0.34269826911955881</v>
      </c>
      <c r="S17">
        <f t="shared" ref="S17:S27" si="17">S16+1</f>
        <v>2</v>
      </c>
      <c r="T17">
        <f t="shared" si="3"/>
        <v>1.4893454444646097</v>
      </c>
      <c r="U17">
        <f t="shared" si="4"/>
        <v>1.5263738070417325</v>
      </c>
      <c r="V17">
        <f t="shared" si="5"/>
        <v>1.528645062669248</v>
      </c>
      <c r="W17">
        <f t="shared" ref="W17:W27" si="18">ABS(T17-V17)</f>
        <v>3.9299618204638342E-2</v>
      </c>
      <c r="X17">
        <f t="shared" ref="X17:X27" si="19">ABS(U17-V17)</f>
        <v>2.2712556275155116E-3</v>
      </c>
      <c r="Z17" s="13" t="s">
        <v>26</v>
      </c>
      <c r="AA17" s="13">
        <f>AVERAGE(X15:X415)</f>
        <v>2.8752616215450826E-2</v>
      </c>
    </row>
    <row r="18" spans="2:27" x14ac:dyDescent="0.25">
      <c r="B18">
        <f t="shared" si="8"/>
        <v>3</v>
      </c>
      <c r="C18">
        <f t="shared" si="9"/>
        <v>1.7864397475690861</v>
      </c>
      <c r="D18">
        <f t="shared" si="10"/>
        <v>0.33479268930696798</v>
      </c>
      <c r="F18">
        <f t="shared" si="6"/>
        <v>3</v>
      </c>
      <c r="G18">
        <f t="shared" si="7"/>
        <v>1.8472958714804664</v>
      </c>
      <c r="H18">
        <f t="shared" si="0"/>
        <v>0.34219994807206544</v>
      </c>
      <c r="I18">
        <f t="shared" si="1"/>
        <v>2.1894958195525316</v>
      </c>
      <c r="J18">
        <f t="shared" si="2"/>
        <v>0.38215371052395813</v>
      </c>
      <c r="L18">
        <f t="shared" si="11"/>
        <v>3</v>
      </c>
      <c r="M18">
        <f t="shared" si="12"/>
        <v>1.8509134902226823</v>
      </c>
      <c r="N18">
        <f t="shared" si="13"/>
        <v>0.34263718973300472</v>
      </c>
      <c r="O18">
        <f t="shared" si="14"/>
        <v>0.36296710937700377</v>
      </c>
      <c r="P18">
        <f t="shared" si="15"/>
        <v>0.36415109213883928</v>
      </c>
      <c r="Q18">
        <f t="shared" si="16"/>
        <v>0.38503313443724008</v>
      </c>
      <c r="S18">
        <f t="shared" si="17"/>
        <v>3</v>
      </c>
      <c r="T18">
        <f t="shared" si="3"/>
        <v>1.7864397475690861</v>
      </c>
      <c r="U18">
        <f t="shared" si="4"/>
        <v>1.8472958714804664</v>
      </c>
      <c r="V18">
        <f t="shared" si="5"/>
        <v>1.8509134902226823</v>
      </c>
      <c r="W18">
        <f t="shared" si="18"/>
        <v>6.4473742653596178E-2</v>
      </c>
      <c r="X18">
        <f t="shared" si="19"/>
        <v>3.617618742215889E-3</v>
      </c>
      <c r="Z18" s="13" t="s">
        <v>50</v>
      </c>
      <c r="AA18" s="13">
        <f>VLOOKUP(400, S15:X415, 5, FALSE)</f>
        <v>1.7817095439340846E-2</v>
      </c>
    </row>
    <row r="19" spans="2:27" x14ac:dyDescent="0.25">
      <c r="B19">
        <f t="shared" si="8"/>
        <v>4</v>
      </c>
      <c r="C19">
        <f t="shared" si="9"/>
        <v>2.121232436876054</v>
      </c>
      <c r="D19">
        <f t="shared" si="10"/>
        <v>0.37439803453387099</v>
      </c>
      <c r="F19">
        <f t="shared" si="6"/>
        <v>4</v>
      </c>
      <c r="G19">
        <f t="shared" si="7"/>
        <v>2.2094727007784782</v>
      </c>
      <c r="H19">
        <f t="shared" si="0"/>
        <v>0.38440457469903061</v>
      </c>
      <c r="I19">
        <f t="shared" si="1"/>
        <v>2.5938772754775088</v>
      </c>
      <c r="J19">
        <f t="shared" si="2"/>
        <v>0.4261954855613489</v>
      </c>
      <c r="L19">
        <f t="shared" si="11"/>
        <v>4</v>
      </c>
      <c r="M19">
        <f t="shared" si="12"/>
        <v>2.214564611423004</v>
      </c>
      <c r="N19">
        <f t="shared" si="13"/>
        <v>0.384976961347124</v>
      </c>
      <c r="O19">
        <f t="shared" si="14"/>
        <v>0.40623215181293437</v>
      </c>
      <c r="P19">
        <f t="shared" si="15"/>
        <v>0.40738476735260504</v>
      </c>
      <c r="Q19">
        <f t="shared" si="16"/>
        <v>0.42914225203681161</v>
      </c>
      <c r="S19">
        <f t="shared" si="17"/>
        <v>4</v>
      </c>
      <c r="T19">
        <f t="shared" si="3"/>
        <v>2.121232436876054</v>
      </c>
      <c r="U19">
        <f t="shared" si="4"/>
        <v>2.2094727007784782</v>
      </c>
      <c r="V19">
        <f t="shared" si="5"/>
        <v>2.214564611423004</v>
      </c>
      <c r="W19">
        <f t="shared" si="18"/>
        <v>9.3332174546949975E-2</v>
      </c>
      <c r="X19">
        <f t="shared" si="19"/>
        <v>5.0919106445257434E-3</v>
      </c>
      <c r="Z19" s="13" t="s">
        <v>51</v>
      </c>
      <c r="AA19" s="13">
        <f>VLOOKUP(400, S15:X415, 6, FALSE)</f>
        <v>6.5676321406726856E-4</v>
      </c>
    </row>
    <row r="20" spans="2:27" x14ac:dyDescent="0.25">
      <c r="B20">
        <f t="shared" si="8"/>
        <v>5</v>
      </c>
      <c r="C20">
        <f t="shared" si="9"/>
        <v>2.4956304714099251</v>
      </c>
      <c r="D20">
        <f t="shared" si="10"/>
        <v>0.41577512857468041</v>
      </c>
      <c r="F20">
        <f t="shared" si="6"/>
        <v>5</v>
      </c>
      <c r="G20">
        <f t="shared" si="7"/>
        <v>2.6147727309086681</v>
      </c>
      <c r="H20">
        <f t="shared" si="0"/>
        <v>0.42839018088700387</v>
      </c>
      <c r="I20">
        <f t="shared" si="1"/>
        <v>3.043162911795672</v>
      </c>
      <c r="J20">
        <f t="shared" si="2"/>
        <v>0.47185378950611884</v>
      </c>
      <c r="L20">
        <f t="shared" si="11"/>
        <v>5</v>
      </c>
      <c r="M20">
        <f t="shared" si="12"/>
        <v>2.6214567867088396</v>
      </c>
      <c r="N20">
        <f t="shared" si="13"/>
        <v>0.42909065902867716</v>
      </c>
      <c r="O20">
        <f t="shared" si="14"/>
        <v>0.45118710376473214</v>
      </c>
      <c r="P20">
        <f t="shared" si="15"/>
        <v>0.45230533976730719</v>
      </c>
      <c r="Q20">
        <f t="shared" si="16"/>
        <v>0.47485422599228705</v>
      </c>
      <c r="S20">
        <f t="shared" si="17"/>
        <v>5</v>
      </c>
      <c r="T20">
        <f t="shared" si="3"/>
        <v>2.4956304714099251</v>
      </c>
      <c r="U20">
        <f t="shared" si="4"/>
        <v>2.6147727309086681</v>
      </c>
      <c r="V20">
        <f t="shared" si="5"/>
        <v>2.6214567867088396</v>
      </c>
      <c r="W20">
        <f t="shared" si="18"/>
        <v>0.12582631529891453</v>
      </c>
      <c r="X20">
        <f t="shared" si="19"/>
        <v>6.6840558001715067E-3</v>
      </c>
    </row>
    <row r="21" spans="2:27" x14ac:dyDescent="0.25">
      <c r="B21">
        <f t="shared" si="8"/>
        <v>6</v>
      </c>
      <c r="C21">
        <f t="shared" si="9"/>
        <v>2.9114055999846054</v>
      </c>
      <c r="D21">
        <f t="shared" si="10"/>
        <v>0.45878238043991743</v>
      </c>
      <c r="F21">
        <f t="shared" si="6"/>
        <v>6</v>
      </c>
      <c r="G21">
        <f t="shared" si="7"/>
        <v>3.0648947161052296</v>
      </c>
      <c r="H21">
        <f t="shared" si="0"/>
        <v>0.47398606207165656</v>
      </c>
      <c r="I21">
        <f t="shared" si="1"/>
        <v>3.5388807781768863</v>
      </c>
      <c r="J21">
        <f t="shared" si="2"/>
        <v>0.51895511590812982</v>
      </c>
      <c r="L21">
        <f t="shared" si="11"/>
        <v>6</v>
      </c>
      <c r="M21">
        <f t="shared" si="12"/>
        <v>3.0732784153896802</v>
      </c>
      <c r="N21">
        <f t="shared" si="13"/>
        <v>0.47480689631180406</v>
      </c>
      <c r="O21">
        <f t="shared" si="14"/>
        <v>0.49765937457889209</v>
      </c>
      <c r="P21">
        <f t="shared" si="15"/>
        <v>0.49874082846483936</v>
      </c>
      <c r="Q21">
        <f t="shared" si="16"/>
        <v>0.52199625052859144</v>
      </c>
      <c r="S21">
        <f t="shared" si="17"/>
        <v>6</v>
      </c>
      <c r="T21">
        <f t="shared" si="3"/>
        <v>2.9114055999846054</v>
      </c>
      <c r="U21">
        <f t="shared" si="4"/>
        <v>3.0648947161052296</v>
      </c>
      <c r="V21">
        <f t="shared" si="5"/>
        <v>3.0732784153896802</v>
      </c>
      <c r="W21">
        <f t="shared" si="18"/>
        <v>0.16187281540507481</v>
      </c>
      <c r="X21">
        <f t="shared" si="19"/>
        <v>8.3836992844505964E-3</v>
      </c>
    </row>
    <row r="22" spans="2:27" x14ac:dyDescent="0.25">
      <c r="B22">
        <f t="shared" si="8"/>
        <v>7</v>
      </c>
      <c r="C22">
        <f t="shared" si="9"/>
        <v>3.3701879804245229</v>
      </c>
      <c r="D22">
        <f t="shared" si="10"/>
        <v>0.50327356267393952</v>
      </c>
      <c r="F22">
        <f t="shared" si="6"/>
        <v>7</v>
      </c>
      <c r="G22">
        <f t="shared" si="7"/>
        <v>3.5613653050951228</v>
      </c>
      <c r="H22">
        <f t="shared" si="0"/>
        <v>0.52101991191906549</v>
      </c>
      <c r="I22">
        <f t="shared" si="1"/>
        <v>4.0823852170141883</v>
      </c>
      <c r="J22">
        <f t="shared" si="2"/>
        <v>0.56732603206477572</v>
      </c>
      <c r="L22">
        <f t="shared" si="11"/>
        <v>7</v>
      </c>
      <c r="M22">
        <f t="shared" si="12"/>
        <v>3.5715456742109897</v>
      </c>
      <c r="N22">
        <f t="shared" si="13"/>
        <v>0.52195287973598559</v>
      </c>
      <c r="O22">
        <f t="shared" si="14"/>
        <v>0.54547578625959958</v>
      </c>
      <c r="P22">
        <f t="shared" si="15"/>
        <v>0.54651859691624194</v>
      </c>
      <c r="Q22">
        <f t="shared" si="16"/>
        <v>0.57039562793025611</v>
      </c>
      <c r="S22">
        <f t="shared" si="17"/>
        <v>7</v>
      </c>
      <c r="T22">
        <f t="shared" si="3"/>
        <v>3.3701879804245229</v>
      </c>
      <c r="U22">
        <f t="shared" si="4"/>
        <v>3.5613653050951228</v>
      </c>
      <c r="V22">
        <f t="shared" si="5"/>
        <v>3.5715456742109897</v>
      </c>
      <c r="W22">
        <f t="shared" si="18"/>
        <v>0.20135769378646673</v>
      </c>
      <c r="X22">
        <f t="shared" si="19"/>
        <v>1.0180369115866839E-2</v>
      </c>
    </row>
    <row r="23" spans="2:27" x14ac:dyDescent="0.25">
      <c r="B23">
        <f t="shared" si="8"/>
        <v>8</v>
      </c>
      <c r="C23">
        <f t="shared" si="9"/>
        <v>3.8734615430984625</v>
      </c>
      <c r="D23">
        <f t="shared" si="10"/>
        <v>0.54909938648925538</v>
      </c>
      <c r="F23">
        <f t="shared" si="6"/>
        <v>8</v>
      </c>
      <c r="G23">
        <f t="shared" si="7"/>
        <v>4.1055382770870432</v>
      </c>
      <c r="H23">
        <f t="shared" si="0"/>
        <v>0.56931936937292005</v>
      </c>
      <c r="I23">
        <f t="shared" si="1"/>
        <v>4.6748576464599632</v>
      </c>
      <c r="J23">
        <f t="shared" si="2"/>
        <v>0.61679450326368179</v>
      </c>
      <c r="L23">
        <f t="shared" si="11"/>
        <v>8</v>
      </c>
      <c r="M23">
        <f t="shared" si="12"/>
        <v>4.1176018865473107</v>
      </c>
      <c r="N23">
        <f t="shared" si="13"/>
        <v>0.57035592569678073</v>
      </c>
      <c r="O23">
        <f t="shared" si="14"/>
        <v>0.59446398026415603</v>
      </c>
      <c r="P23">
        <f t="shared" si="15"/>
        <v>0.59546676596963366</v>
      </c>
      <c r="Q23">
        <f t="shared" si="16"/>
        <v>0.61988107779754897</v>
      </c>
      <c r="S23">
        <f t="shared" si="17"/>
        <v>8</v>
      </c>
      <c r="T23">
        <f t="shared" si="3"/>
        <v>3.8734615430984625</v>
      </c>
      <c r="U23">
        <f t="shared" si="4"/>
        <v>4.1055382770870432</v>
      </c>
      <c r="V23">
        <f t="shared" si="5"/>
        <v>4.1176018865473107</v>
      </c>
      <c r="W23">
        <f t="shared" si="18"/>
        <v>0.24414034344884827</v>
      </c>
      <c r="X23">
        <f t="shared" si="19"/>
        <v>1.2063609460267521E-2</v>
      </c>
    </row>
    <row r="24" spans="2:27" x14ac:dyDescent="0.25">
      <c r="B24">
        <f t="shared" si="8"/>
        <v>9</v>
      </c>
      <c r="C24">
        <f t="shared" si="9"/>
        <v>4.4225609295877177</v>
      </c>
      <c r="D24">
        <f t="shared" si="10"/>
        <v>0.59610891463093674</v>
      </c>
      <c r="F24">
        <f t="shared" si="6"/>
        <v>9</v>
      </c>
      <c r="G24">
        <f t="shared" si="7"/>
        <v>4.6985952134053441</v>
      </c>
      <c r="H24">
        <f t="shared" si="0"/>
        <v>0.61871335322823107</v>
      </c>
      <c r="I24">
        <f t="shared" si="1"/>
        <v>5.3173085666335753</v>
      </c>
      <c r="J24">
        <f t="shared" si="2"/>
        <v>0.66719102651128603</v>
      </c>
      <c r="L24">
        <f t="shared" si="11"/>
        <v>9</v>
      </c>
      <c r="M24">
        <f t="shared" si="12"/>
        <v>4.712618302540962</v>
      </c>
      <c r="N24">
        <f t="shared" si="13"/>
        <v>0.61984476893928397</v>
      </c>
      <c r="O24">
        <f t="shared" si="14"/>
        <v>0.64445362691723551</v>
      </c>
      <c r="P24">
        <f t="shared" si="15"/>
        <v>0.64541542897383986</v>
      </c>
      <c r="Q24">
        <f t="shared" si="16"/>
        <v>0.67028385868042484</v>
      </c>
      <c r="S24">
        <f t="shared" si="17"/>
        <v>9</v>
      </c>
      <c r="T24">
        <f t="shared" si="3"/>
        <v>4.4225609295877177</v>
      </c>
      <c r="U24">
        <f t="shared" si="4"/>
        <v>4.6985952134053441</v>
      </c>
      <c r="V24">
        <f t="shared" si="5"/>
        <v>4.712618302540962</v>
      </c>
      <c r="W24">
        <f t="shared" si="18"/>
        <v>0.2900573729532443</v>
      </c>
      <c r="X24">
        <f t="shared" si="19"/>
        <v>1.4023089135617894E-2</v>
      </c>
    </row>
    <row r="25" spans="2:27" x14ac:dyDescent="0.25">
      <c r="B25">
        <f t="shared" si="8"/>
        <v>10</v>
      </c>
      <c r="C25">
        <f t="shared" si="9"/>
        <v>5.0186698442186541</v>
      </c>
      <c r="D25">
        <f t="shared" si="10"/>
        <v>0.64415082015540925</v>
      </c>
      <c r="F25">
        <f t="shared" si="6"/>
        <v>10</v>
      </c>
      <c r="G25">
        <f t="shared" si="7"/>
        <v>5.3415474032751025</v>
      </c>
      <c r="H25">
        <f t="shared" si="0"/>
        <v>0.66903320573707903</v>
      </c>
      <c r="I25">
        <f t="shared" si="1"/>
        <v>6.0105806090121812</v>
      </c>
      <c r="J25">
        <f t="shared" si="2"/>
        <v>0.71834959342140925</v>
      </c>
      <c r="L25">
        <f t="shared" si="11"/>
        <v>10</v>
      </c>
      <c r="M25">
        <f t="shared" si="12"/>
        <v>5.3575960924412716</v>
      </c>
      <c r="N25">
        <f t="shared" si="13"/>
        <v>0.67025068364216689</v>
      </c>
      <c r="O25">
        <f t="shared" si="14"/>
        <v>0.69527745743482527</v>
      </c>
      <c r="P25">
        <f t="shared" si="15"/>
        <v>0.69619768905623425</v>
      </c>
      <c r="Q25">
        <f t="shared" si="16"/>
        <v>0.72143872126283604</v>
      </c>
      <c r="S25">
        <f t="shared" si="17"/>
        <v>10</v>
      </c>
      <c r="T25">
        <f t="shared" si="3"/>
        <v>5.0186698442186541</v>
      </c>
      <c r="U25">
        <f t="shared" si="4"/>
        <v>5.3415474032751025</v>
      </c>
      <c r="V25">
        <f t="shared" si="5"/>
        <v>5.3575960924412716</v>
      </c>
      <c r="W25">
        <f t="shared" si="18"/>
        <v>0.33892624822261741</v>
      </c>
      <c r="X25">
        <f t="shared" si="19"/>
        <v>1.6048689166169083E-2</v>
      </c>
    </row>
    <row r="26" spans="2:27" x14ac:dyDescent="0.25">
      <c r="B26">
        <f t="shared" si="8"/>
        <v>11</v>
      </c>
      <c r="C26">
        <f t="shared" si="9"/>
        <v>5.6628206643740633</v>
      </c>
      <c r="D26">
        <f t="shared" si="10"/>
        <v>0.69307450009367033</v>
      </c>
      <c r="F26">
        <f t="shared" si="6"/>
        <v>11</v>
      </c>
      <c r="G26">
        <f t="shared" si="7"/>
        <v>6.0352388028543462</v>
      </c>
      <c r="H26">
        <f t="shared" si="0"/>
        <v>0.72011366484042549</v>
      </c>
      <c r="I26">
        <f t="shared" si="1"/>
        <v>6.755352467694772</v>
      </c>
      <c r="J26">
        <f t="shared" si="2"/>
        <v>0.77010850014480214</v>
      </c>
      <c r="L26">
        <f t="shared" si="11"/>
        <v>11</v>
      </c>
      <c r="M26">
        <f t="shared" si="12"/>
        <v>6.0533693754224585</v>
      </c>
      <c r="N26">
        <f t="shared" si="13"/>
        <v>0.72140843620682338</v>
      </c>
      <c r="O26">
        <f t="shared" si="14"/>
        <v>0.74677213679272014</v>
      </c>
      <c r="P26">
        <f t="shared" si="15"/>
        <v>0.74765053681852622</v>
      </c>
      <c r="Q26">
        <f t="shared" si="16"/>
        <v>0.77318471056816163</v>
      </c>
      <c r="S26">
        <f t="shared" si="17"/>
        <v>11</v>
      </c>
      <c r="T26">
        <f t="shared" si="3"/>
        <v>5.6628206643740633</v>
      </c>
      <c r="U26">
        <f t="shared" si="4"/>
        <v>6.0352388028543462</v>
      </c>
      <c r="V26">
        <f t="shared" si="5"/>
        <v>6.0533693754224585</v>
      </c>
      <c r="W26">
        <f t="shared" si="18"/>
        <v>0.39054871104839517</v>
      </c>
      <c r="X26">
        <f t="shared" si="19"/>
        <v>1.8130572568112235E-2</v>
      </c>
    </row>
    <row r="27" spans="2:27" x14ac:dyDescent="0.25">
      <c r="B27">
        <f t="shared" si="8"/>
        <v>12</v>
      </c>
      <c r="C27">
        <f t="shared" si="9"/>
        <v>6.3558951644677339</v>
      </c>
      <c r="D27">
        <f t="shared" si="10"/>
        <v>0.74273105338911849</v>
      </c>
      <c r="F27">
        <f t="shared" si="6"/>
        <v>12</v>
      </c>
      <c r="G27">
        <f t="shared" si="7"/>
        <v>6.7803498853469604</v>
      </c>
      <c r="H27">
        <f t="shared" si="0"/>
        <v>0.77179368286773609</v>
      </c>
      <c r="I27">
        <f t="shared" si="1"/>
        <v>7.5521435682146967</v>
      </c>
      <c r="J27">
        <f t="shared" si="2"/>
        <v>0.82231102058829086</v>
      </c>
      <c r="L27">
        <f t="shared" si="11"/>
        <v>12</v>
      </c>
      <c r="M27">
        <f t="shared" si="12"/>
        <v>6.8006091244220377</v>
      </c>
      <c r="N27">
        <f t="shared" si="13"/>
        <v>0.77315708718105947</v>
      </c>
      <c r="O27">
        <f t="shared" si="14"/>
        <v>0.79877899406075203</v>
      </c>
      <c r="P27">
        <f t="shared" si="15"/>
        <v>0.79961558510052988</v>
      </c>
      <c r="Q27">
        <f t="shared" si="16"/>
        <v>0.82536583309683509</v>
      </c>
      <c r="S27">
        <f t="shared" si="17"/>
        <v>12</v>
      </c>
      <c r="T27">
        <f t="shared" si="3"/>
        <v>6.3558951644677339</v>
      </c>
      <c r="U27">
        <f t="shared" si="4"/>
        <v>6.7803498853469604</v>
      </c>
      <c r="V27">
        <f t="shared" si="5"/>
        <v>6.8006091244220377</v>
      </c>
      <c r="W27">
        <f t="shared" si="18"/>
        <v>0.44471395995430374</v>
      </c>
      <c r="X27">
        <f t="shared" si="19"/>
        <v>2.0259239075077318E-2</v>
      </c>
    </row>
    <row r="28" spans="2:27" x14ac:dyDescent="0.25">
      <c r="B28">
        <f t="shared" si="8"/>
        <v>13</v>
      </c>
      <c r="C28">
        <f t="shared" si="9"/>
        <v>7.098626217856852</v>
      </c>
      <c r="D28">
        <f t="shared" si="10"/>
        <v>0.79297413264869787</v>
      </c>
      <c r="F28">
        <f t="shared" si="6"/>
        <v>13</v>
      </c>
      <c r="G28">
        <f t="shared" si="7"/>
        <v>7.5774022370749741</v>
      </c>
      <c r="H28">
        <f t="shared" si="0"/>
        <v>0.82391710794057582</v>
      </c>
      <c r="I28">
        <f t="shared" si="1"/>
        <v>8.4013193450155494</v>
      </c>
      <c r="J28">
        <f t="shared" si="2"/>
        <v>0.87480595768401426</v>
      </c>
      <c r="L28">
        <f t="shared" si="11"/>
        <v>13</v>
      </c>
      <c r="M28">
        <f t="shared" si="12"/>
        <v>7.5998278041887808</v>
      </c>
      <c r="N28">
        <f t="shared" si="13"/>
        <v>0.82534065819863356</v>
      </c>
      <c r="O28">
        <f t="shared" si="14"/>
        <v>0.85114462534167312</v>
      </c>
      <c r="P28">
        <f t="shared" si="15"/>
        <v>0.85193967597897724</v>
      </c>
      <c r="Q28">
        <f t="shared" si="16"/>
        <v>0.87783160337743649</v>
      </c>
      <c r="S28">
        <f t="shared" ref="S28:S91" si="20">S27+1</f>
        <v>13</v>
      </c>
      <c r="T28">
        <f t="shared" si="3"/>
        <v>7.098626217856852</v>
      </c>
      <c r="U28">
        <f t="shared" si="4"/>
        <v>7.5774022370749741</v>
      </c>
      <c r="V28">
        <f t="shared" si="5"/>
        <v>7.5998278041887808</v>
      </c>
      <c r="W28">
        <f t="shared" ref="W28:W91" si="21">ABS(T28-V28)</f>
        <v>0.50120158633192879</v>
      </c>
      <c r="X28">
        <f t="shared" ref="X28:X91" si="22">ABS(U28-V28)</f>
        <v>2.2425567113806721E-2</v>
      </c>
    </row>
    <row r="29" spans="2:27" x14ac:dyDescent="0.25">
      <c r="B29">
        <f t="shared" si="8"/>
        <v>14</v>
      </c>
      <c r="C29">
        <f t="shared" si="9"/>
        <v>7.8916003505055503</v>
      </c>
      <c r="D29">
        <f t="shared" si="10"/>
        <v>0.8436606791944059</v>
      </c>
      <c r="F29">
        <f t="shared" si="6"/>
        <v>14</v>
      </c>
      <c r="G29">
        <f t="shared" si="7"/>
        <v>8.4267637698872697</v>
      </c>
      <c r="H29">
        <f t="shared" si="0"/>
        <v>0.87633324284556824</v>
      </c>
      <c r="I29">
        <f t="shared" si="1"/>
        <v>9.3030970127328381</v>
      </c>
      <c r="J29">
        <f t="shared" si="2"/>
        <v>0.92744808611117391</v>
      </c>
      <c r="L29">
        <f t="shared" si="11"/>
        <v>14</v>
      </c>
      <c r="M29">
        <f t="shared" si="12"/>
        <v>8.4513846148916763</v>
      </c>
      <c r="N29">
        <f t="shared" si="13"/>
        <v>0.87780867839423482</v>
      </c>
      <c r="O29">
        <f t="shared" si="14"/>
        <v>0.90372138309267247</v>
      </c>
      <c r="P29">
        <f t="shared" si="15"/>
        <v>0.90447537380636855</v>
      </c>
      <c r="Q29">
        <f t="shared" si="16"/>
        <v>0.93043748310171503</v>
      </c>
      <c r="S29">
        <f t="shared" si="20"/>
        <v>14</v>
      </c>
      <c r="T29">
        <f t="shared" si="3"/>
        <v>7.8916003505055503</v>
      </c>
      <c r="U29">
        <f t="shared" si="4"/>
        <v>8.4267637698872697</v>
      </c>
      <c r="V29">
        <f t="shared" si="5"/>
        <v>8.4513846148916763</v>
      </c>
      <c r="W29">
        <f t="shared" si="21"/>
        <v>0.55978426438612594</v>
      </c>
      <c r="X29">
        <f t="shared" si="22"/>
        <v>2.4620845004406533E-2</v>
      </c>
    </row>
    <row r="30" spans="2:27" x14ac:dyDescent="0.25">
      <c r="B30">
        <f t="shared" si="8"/>
        <v>15</v>
      </c>
      <c r="C30">
        <f t="shared" si="9"/>
        <v>8.7352610296999558</v>
      </c>
      <c r="D30">
        <f t="shared" si="10"/>
        <v>0.89465155070491353</v>
      </c>
      <c r="F30">
        <f t="shared" si="6"/>
        <v>15</v>
      </c>
      <c r="G30">
        <f t="shared" si="7"/>
        <v>9.3286544343656406</v>
      </c>
      <c r="H30">
        <f t="shared" si="0"/>
        <v>0.92889729479522121</v>
      </c>
      <c r="I30">
        <f t="shared" si="1"/>
        <v>10.257551729160863</v>
      </c>
      <c r="J30">
        <f t="shared" si="2"/>
        <v>0.98009849863258447</v>
      </c>
      <c r="L30">
        <f t="shared" si="11"/>
        <v>15</v>
      </c>
      <c r="M30">
        <f t="shared" si="12"/>
        <v>9.3554912274406821</v>
      </c>
      <c r="N30">
        <f t="shared" si="13"/>
        <v>0.93041662344843479</v>
      </c>
      <c r="O30">
        <f t="shared" si="14"/>
        <v>0.95636776435850213</v>
      </c>
      <c r="P30">
        <f t="shared" si="15"/>
        <v>0.95708135684448503</v>
      </c>
      <c r="Q30">
        <f t="shared" si="16"/>
        <v>0.98304522481243495</v>
      </c>
      <c r="S30">
        <f t="shared" si="20"/>
        <v>15</v>
      </c>
      <c r="T30">
        <f t="shared" si="3"/>
        <v>8.7352610296999558</v>
      </c>
      <c r="U30">
        <f t="shared" si="4"/>
        <v>9.3286544343656406</v>
      </c>
      <c r="V30">
        <f t="shared" si="5"/>
        <v>9.3554912274406821</v>
      </c>
      <c r="W30">
        <f t="shared" si="21"/>
        <v>0.6202301977407263</v>
      </c>
      <c r="X30">
        <f t="shared" si="22"/>
        <v>2.6836793075041498E-2</v>
      </c>
    </row>
    <row r="31" spans="2:27" x14ac:dyDescent="0.25">
      <c r="B31">
        <f t="shared" si="8"/>
        <v>16</v>
      </c>
      <c r="C31">
        <f t="shared" si="9"/>
        <v>9.62991258040487</v>
      </c>
      <c r="D31">
        <f t="shared" si="10"/>
        <v>0.94581205043574357</v>
      </c>
      <c r="F31">
        <f t="shared" si="6"/>
        <v>16</v>
      </c>
      <c r="G31">
        <f t="shared" si="7"/>
        <v>10.283152331079544</v>
      </c>
      <c r="H31">
        <f t="shared" si="0"/>
        <v>0.98147072826191617</v>
      </c>
      <c r="I31">
        <f t="shared" si="1"/>
        <v>11.26462305934146</v>
      </c>
      <c r="J31">
        <f t="shared" si="2"/>
        <v>1.0326248670754237</v>
      </c>
      <c r="L31">
        <f t="shared" si="11"/>
        <v>16</v>
      </c>
      <c r="M31">
        <f t="shared" si="12"/>
        <v>10.312217909218489</v>
      </c>
      <c r="N31">
        <f t="shared" si="13"/>
        <v>0.98302625921969822</v>
      </c>
      <c r="O31">
        <f t="shared" si="14"/>
        <v>1.0089487092994331</v>
      </c>
      <c r="P31">
        <f t="shared" si="15"/>
        <v>1.0096227188999727</v>
      </c>
      <c r="Q31">
        <f t="shared" si="16"/>
        <v>1.0355231310117081</v>
      </c>
      <c r="S31">
        <f t="shared" si="20"/>
        <v>16</v>
      </c>
      <c r="T31">
        <f t="shared" si="3"/>
        <v>9.62991258040487</v>
      </c>
      <c r="U31">
        <f t="shared" si="4"/>
        <v>10.283152331079544</v>
      </c>
      <c r="V31">
        <f t="shared" si="5"/>
        <v>10.312217909218489</v>
      </c>
      <c r="W31">
        <f t="shared" si="21"/>
        <v>0.68230532881361938</v>
      </c>
      <c r="X31">
        <f t="shared" si="22"/>
        <v>2.9065578138945725E-2</v>
      </c>
    </row>
    <row r="32" spans="2:27" x14ac:dyDescent="0.25">
      <c r="B32">
        <f t="shared" si="8"/>
        <v>17</v>
      </c>
      <c r="C32">
        <f t="shared" si="9"/>
        <v>10.575724630840613</v>
      </c>
      <c r="D32">
        <f t="shared" si="10"/>
        <v>0.99701236663301551</v>
      </c>
      <c r="F32">
        <f t="shared" si="6"/>
        <v>17</v>
      </c>
      <c r="G32">
        <f t="shared" si="7"/>
        <v>11.290200128748214</v>
      </c>
      <c r="H32">
        <f t="shared" si="0"/>
        <v>1.0339215319415551</v>
      </c>
      <c r="I32">
        <f t="shared" si="1"/>
        <v>12.324121660689769</v>
      </c>
      <c r="J32">
        <f t="shared" si="2"/>
        <v>1.0849016279504402</v>
      </c>
      <c r="L32">
        <f t="shared" si="11"/>
        <v>17</v>
      </c>
      <c r="M32">
        <f t="shared" si="12"/>
        <v>11.321499950323526</v>
      </c>
      <c r="N32">
        <f t="shared" si="13"/>
        <v>1.0355059008223142</v>
      </c>
      <c r="O32">
        <f t="shared" si="14"/>
        <v>1.0613358203466774</v>
      </c>
      <c r="P32">
        <f t="shared" si="15"/>
        <v>1.0619711913173218</v>
      </c>
      <c r="Q32">
        <f t="shared" si="16"/>
        <v>1.0877462385485202</v>
      </c>
      <c r="S32">
        <f t="shared" si="20"/>
        <v>17</v>
      </c>
      <c r="T32">
        <f t="shared" si="3"/>
        <v>10.575724630840613</v>
      </c>
      <c r="U32">
        <f t="shared" si="4"/>
        <v>11.290200128748214</v>
      </c>
      <c r="V32">
        <f t="shared" si="5"/>
        <v>11.321499950323526</v>
      </c>
      <c r="W32">
        <f t="shared" si="21"/>
        <v>0.74577531948291309</v>
      </c>
      <c r="X32">
        <f t="shared" si="22"/>
        <v>3.1299821575311526E-2</v>
      </c>
    </row>
    <row r="33" spans="2:24" x14ac:dyDescent="0.25">
      <c r="B33">
        <f t="shared" si="8"/>
        <v>18</v>
      </c>
      <c r="C33">
        <f t="shared" si="9"/>
        <v>11.572736997473628</v>
      </c>
      <c r="D33">
        <f t="shared" si="10"/>
        <v>1.0481279303346369</v>
      </c>
      <c r="F33">
        <f t="shared" si="6"/>
        <v>18</v>
      </c>
      <c r="G33">
        <f t="shared" si="7"/>
        <v>12.349611708694212</v>
      </c>
      <c r="H33">
        <f t="shared" si="0"/>
        <v>1.0861244098703799</v>
      </c>
      <c r="I33">
        <f t="shared" si="1"/>
        <v>13.435736118564591</v>
      </c>
      <c r="J33">
        <f t="shared" si="2"/>
        <v>1.1368101017580334</v>
      </c>
      <c r="L33">
        <f t="shared" si="11"/>
        <v>18</v>
      </c>
      <c r="M33">
        <f t="shared" si="12"/>
        <v>12.383144310773332</v>
      </c>
      <c r="N33">
        <f t="shared" si="13"/>
        <v>1.0877305970023403</v>
      </c>
      <c r="O33">
        <f t="shared" si="14"/>
        <v>1.1134075113550734</v>
      </c>
      <c r="P33">
        <f t="shared" si="15"/>
        <v>1.1140052947202033</v>
      </c>
      <c r="Q33">
        <f t="shared" si="16"/>
        <v>1.1395964372200442</v>
      </c>
      <c r="S33">
        <f t="shared" si="20"/>
        <v>18</v>
      </c>
      <c r="T33">
        <f t="shared" si="3"/>
        <v>11.572736997473628</v>
      </c>
      <c r="U33">
        <f t="shared" si="4"/>
        <v>12.349611708694212</v>
      </c>
      <c r="V33">
        <f t="shared" si="5"/>
        <v>12.383144310773332</v>
      </c>
      <c r="W33">
        <f t="shared" si="21"/>
        <v>0.81040731329970406</v>
      </c>
      <c r="X33">
        <f t="shared" si="22"/>
        <v>3.3532602079120011E-2</v>
      </c>
    </row>
    <row r="34" spans="2:24" x14ac:dyDescent="0.25">
      <c r="B34">
        <f t="shared" si="8"/>
        <v>19</v>
      </c>
      <c r="C34">
        <f t="shared" si="9"/>
        <v>12.620864927808265</v>
      </c>
      <c r="D34">
        <f t="shared" si="10"/>
        <v>1.0990396993025611</v>
      </c>
      <c r="F34">
        <f t="shared" si="6"/>
        <v>19</v>
      </c>
      <c r="G34">
        <f t="shared" si="7"/>
        <v>13.461078964508419</v>
      </c>
      <c r="H34">
        <f t="shared" si="0"/>
        <v>1.1379609057734745</v>
      </c>
      <c r="I34">
        <f t="shared" si="1"/>
        <v>14.599039870281892</v>
      </c>
      <c r="J34">
        <f t="shared" si="2"/>
        <v>1.1882385541654605</v>
      </c>
      <c r="L34">
        <f t="shared" si="11"/>
        <v>19</v>
      </c>
      <c r="M34">
        <f t="shared" si="12"/>
        <v>13.496836418502156</v>
      </c>
      <c r="N34">
        <f t="shared" si="13"/>
        <v>1.1395822487411638</v>
      </c>
      <c r="O34">
        <f t="shared" si="14"/>
        <v>1.1650490952407868</v>
      </c>
      <c r="P34">
        <f t="shared" si="15"/>
        <v>1.1656104290086897</v>
      </c>
      <c r="Q34">
        <f t="shared" si="16"/>
        <v>1.1909625306752796</v>
      </c>
      <c r="S34">
        <f t="shared" si="20"/>
        <v>19</v>
      </c>
      <c r="T34">
        <f t="shared" si="3"/>
        <v>12.620864927808265</v>
      </c>
      <c r="U34">
        <f t="shared" si="4"/>
        <v>13.461078964508419</v>
      </c>
      <c r="V34">
        <f t="shared" si="5"/>
        <v>13.496836418502156</v>
      </c>
      <c r="W34">
        <f t="shared" si="21"/>
        <v>0.87597149069389069</v>
      </c>
      <c r="X34">
        <f t="shared" si="22"/>
        <v>3.5757453993737087E-2</v>
      </c>
    </row>
    <row r="35" spans="2:24" x14ac:dyDescent="0.25">
      <c r="B35">
        <f t="shared" si="8"/>
        <v>20</v>
      </c>
      <c r="C35">
        <f t="shared" si="9"/>
        <v>13.719904627110825</v>
      </c>
      <c r="D35">
        <f t="shared" si="10"/>
        <v>1.1496343753646061</v>
      </c>
      <c r="F35">
        <f t="shared" si="6"/>
        <v>20</v>
      </c>
      <c r="G35">
        <f t="shared" si="7"/>
        <v>14.624178694477886</v>
      </c>
      <c r="H35">
        <f t="shared" si="0"/>
        <v>1.1893194688592481</v>
      </c>
      <c r="I35">
        <f t="shared" si="1"/>
        <v>15.813498163337133</v>
      </c>
      <c r="J35">
        <f t="shared" si="2"/>
        <v>1.2390822064499623</v>
      </c>
      <c r="L35">
        <f t="shared" si="11"/>
        <v>20</v>
      </c>
      <c r="M35">
        <f t="shared" si="12"/>
        <v>14.662147056488054</v>
      </c>
      <c r="N35">
        <f t="shared" si="13"/>
        <v>1.1909496701714444</v>
      </c>
      <c r="O35">
        <f t="shared" si="14"/>
        <v>1.2161528177842211</v>
      </c>
      <c r="P35">
        <f t="shared" si="15"/>
        <v>1.2166789093108643</v>
      </c>
      <c r="Q35">
        <f t="shared" si="16"/>
        <v>1.2417402469352998</v>
      </c>
      <c r="S35">
        <f t="shared" si="20"/>
        <v>20</v>
      </c>
      <c r="T35">
        <f t="shared" si="3"/>
        <v>13.719904627110825</v>
      </c>
      <c r="U35">
        <f t="shared" si="4"/>
        <v>14.624178694477886</v>
      </c>
      <c r="V35">
        <f t="shared" si="5"/>
        <v>14.662147056488054</v>
      </c>
      <c r="W35">
        <f t="shared" si="21"/>
        <v>0.94224242937722913</v>
      </c>
      <c r="X35">
        <f t="shared" si="22"/>
        <v>3.7968362010168732E-2</v>
      </c>
    </row>
    <row r="36" spans="2:24" x14ac:dyDescent="0.25">
      <c r="B36">
        <f t="shared" si="8"/>
        <v>21</v>
      </c>
      <c r="C36">
        <f t="shared" si="9"/>
        <v>14.869539002475431</v>
      </c>
      <c r="D36">
        <f t="shared" si="10"/>
        <v>1.1998045619750211</v>
      </c>
      <c r="F36">
        <f t="shared" si="6"/>
        <v>21</v>
      </c>
      <c r="G36">
        <f t="shared" si="7"/>
        <v>15.838379532132491</v>
      </c>
      <c r="H36">
        <f t="shared" si="0"/>
        <v>1.2400954684841066</v>
      </c>
      <c r="I36">
        <f t="shared" si="1"/>
        <v>17.078475000616596</v>
      </c>
      <c r="J36">
        <f t="shared" si="2"/>
        <v>1.2892432018816786</v>
      </c>
      <c r="L36">
        <f t="shared" si="11"/>
        <v>21</v>
      </c>
      <c r="M36">
        <f t="shared" si="12"/>
        <v>15.87853928503754</v>
      </c>
      <c r="N36">
        <f t="shared" si="13"/>
        <v>1.2417285991168481</v>
      </c>
      <c r="O36">
        <f t="shared" si="14"/>
        <v>1.2666178445392882</v>
      </c>
      <c r="P36">
        <f t="shared" si="15"/>
        <v>1.2671099548470097</v>
      </c>
      <c r="Q36">
        <f t="shared" si="16"/>
        <v>1.2918322051361841</v>
      </c>
      <c r="S36">
        <f t="shared" si="20"/>
        <v>21</v>
      </c>
      <c r="T36">
        <f t="shared" si="3"/>
        <v>14.869539002475431</v>
      </c>
      <c r="U36">
        <f t="shared" si="4"/>
        <v>15.838379532132491</v>
      </c>
      <c r="V36">
        <f t="shared" si="5"/>
        <v>15.87853928503754</v>
      </c>
      <c r="W36">
        <f t="shared" si="21"/>
        <v>1.0090002825621092</v>
      </c>
      <c r="X36">
        <f t="shared" si="22"/>
        <v>4.0159752905049473E-2</v>
      </c>
    </row>
    <row r="37" spans="2:24" x14ac:dyDescent="0.25">
      <c r="B37">
        <f t="shared" si="8"/>
        <v>22</v>
      </c>
      <c r="C37">
        <f t="shared" si="9"/>
        <v>16.069343564450453</v>
      </c>
      <c r="D37">
        <f t="shared" si="10"/>
        <v>1.2494488683375311</v>
      </c>
      <c r="F37">
        <f t="shared" si="6"/>
        <v>22</v>
      </c>
      <c r="G37">
        <f t="shared" si="7"/>
        <v>17.103048867315383</v>
      </c>
      <c r="H37">
        <f t="shared" si="0"/>
        <v>1.2901911643895765</v>
      </c>
      <c r="I37">
        <f t="shared" si="1"/>
        <v>18.393240031704959</v>
      </c>
      <c r="J37">
        <f t="shared" si="2"/>
        <v>1.3386305340620035</v>
      </c>
      <c r="L37">
        <f t="shared" si="11"/>
        <v>22</v>
      </c>
      <c r="M37">
        <f t="shared" si="12"/>
        <v>17.145375352208479</v>
      </c>
      <c r="N37">
        <f t="shared" si="13"/>
        <v>1.2918216638594673</v>
      </c>
      <c r="O37">
        <f t="shared" si="14"/>
        <v>1.3163502071142619</v>
      </c>
      <c r="P37">
        <f t="shared" si="15"/>
        <v>1.3168096369873676</v>
      </c>
      <c r="Q37">
        <f t="shared" si="16"/>
        <v>1.3411478444532539</v>
      </c>
      <c r="S37">
        <f t="shared" si="20"/>
        <v>22</v>
      </c>
      <c r="T37">
        <f t="shared" si="3"/>
        <v>16.069343564450453</v>
      </c>
      <c r="U37">
        <f t="shared" si="4"/>
        <v>17.103048867315383</v>
      </c>
      <c r="V37">
        <f t="shared" si="5"/>
        <v>17.145375352208479</v>
      </c>
      <c r="W37">
        <f t="shared" si="21"/>
        <v>1.0760317877580263</v>
      </c>
      <c r="X37">
        <f t="shared" si="22"/>
        <v>4.232648489309554E-2</v>
      </c>
    </row>
    <row r="38" spans="2:24" x14ac:dyDescent="0.25">
      <c r="B38">
        <f t="shared" si="8"/>
        <v>23</v>
      </c>
      <c r="C38">
        <f t="shared" si="9"/>
        <v>17.318792432787983</v>
      </c>
      <c r="D38">
        <f t="shared" si="10"/>
        <v>1.2984719659790294</v>
      </c>
      <c r="F38">
        <f t="shared" si="6"/>
        <v>23</v>
      </c>
      <c r="G38">
        <f t="shared" si="7"/>
        <v>18.417459716541174</v>
      </c>
      <c r="H38">
        <f t="shared" si="0"/>
        <v>1.3395156385546785</v>
      </c>
      <c r="I38">
        <f t="shared" si="1"/>
        <v>19.756975355095854</v>
      </c>
      <c r="J38">
        <f t="shared" si="2"/>
        <v>1.3871599426323982</v>
      </c>
      <c r="L38">
        <f t="shared" si="11"/>
        <v>23</v>
      </c>
      <c r="M38">
        <f t="shared" si="12"/>
        <v>18.461923551627809</v>
      </c>
      <c r="N38">
        <f t="shared" si="13"/>
        <v>1.3411383120918818</v>
      </c>
      <c r="O38">
        <f t="shared" si="14"/>
        <v>1.3652627144715794</v>
      </c>
      <c r="P38">
        <f t="shared" si="15"/>
        <v>1.3656907921654144</v>
      </c>
      <c r="Q38">
        <f t="shared" si="16"/>
        <v>1.3896033205736344</v>
      </c>
      <c r="S38">
        <f t="shared" si="20"/>
        <v>23</v>
      </c>
      <c r="T38">
        <f t="shared" si="3"/>
        <v>17.318792432787983</v>
      </c>
      <c r="U38">
        <f t="shared" si="4"/>
        <v>18.417459716541174</v>
      </c>
      <c r="V38">
        <f t="shared" si="5"/>
        <v>18.461923551627809</v>
      </c>
      <c r="W38">
        <f t="shared" si="21"/>
        <v>1.1431311188398254</v>
      </c>
      <c r="X38">
        <f t="shared" si="22"/>
        <v>4.4463835086634873E-2</v>
      </c>
    </row>
    <row r="39" spans="2:24" x14ac:dyDescent="0.25">
      <c r="B39">
        <f t="shared" si="8"/>
        <v>24</v>
      </c>
      <c r="C39">
        <f t="shared" si="9"/>
        <v>18.617264398767013</v>
      </c>
      <c r="D39">
        <f t="shared" si="10"/>
        <v>1.3467846032206332</v>
      </c>
      <c r="F39">
        <f t="shared" si="6"/>
        <v>24</v>
      </c>
      <c r="G39">
        <f t="shared" si="7"/>
        <v>19.780797507134711</v>
      </c>
      <c r="H39">
        <f t="shared" si="0"/>
        <v>1.3879846941042904</v>
      </c>
      <c r="I39">
        <f t="shared" si="1"/>
        <v>21.168782201239001</v>
      </c>
      <c r="J39">
        <f t="shared" si="2"/>
        <v>1.4347537812207385</v>
      </c>
      <c r="L39">
        <f t="shared" si="11"/>
        <v>24</v>
      </c>
      <c r="M39">
        <f t="shared" si="12"/>
        <v>19.827364992617724</v>
      </c>
      <c r="N39">
        <f t="shared" si="13"/>
        <v>1.389594707419636</v>
      </c>
      <c r="O39">
        <f t="shared" si="14"/>
        <v>1.4132748343295061</v>
      </c>
      <c r="P39">
        <f t="shared" si="15"/>
        <v>1.4136729047430758</v>
      </c>
      <c r="Q39">
        <f t="shared" si="16"/>
        <v>1.4371213745439571</v>
      </c>
      <c r="S39">
        <f t="shared" si="20"/>
        <v>24</v>
      </c>
      <c r="T39">
        <f t="shared" si="3"/>
        <v>18.617264398767013</v>
      </c>
      <c r="U39">
        <f t="shared" si="4"/>
        <v>19.780797507134711</v>
      </c>
      <c r="V39">
        <f t="shared" si="5"/>
        <v>19.827364992617724</v>
      </c>
      <c r="W39">
        <f t="shared" si="21"/>
        <v>1.2101005938507114</v>
      </c>
      <c r="X39">
        <f t="shared" si="22"/>
        <v>4.6567485483013371E-2</v>
      </c>
    </row>
    <row r="40" spans="2:24" x14ac:dyDescent="0.25">
      <c r="B40">
        <f t="shared" si="8"/>
        <v>25</v>
      </c>
      <c r="C40">
        <f t="shared" si="9"/>
        <v>19.964049001987647</v>
      </c>
      <c r="D40">
        <f t="shared" si="10"/>
        <v>1.3943035825686336</v>
      </c>
      <c r="F40">
        <f t="shared" si="6"/>
        <v>25</v>
      </c>
      <c r="G40">
        <f t="shared" si="7"/>
        <v>21.192166744797227</v>
      </c>
      <c r="H40">
        <f t="shared" si="0"/>
        <v>1.4355207261648804</v>
      </c>
      <c r="I40">
        <f t="shared" si="1"/>
        <v>22.627687470962108</v>
      </c>
      <c r="J40">
        <f t="shared" si="2"/>
        <v>1.4813408619928052</v>
      </c>
      <c r="L40">
        <f t="shared" si="11"/>
        <v>25</v>
      </c>
      <c r="M40">
        <f t="shared" si="12"/>
        <v>21.24080025263585</v>
      </c>
      <c r="N40">
        <f t="shared" si="13"/>
        <v>1.4371135982399601</v>
      </c>
      <c r="O40">
        <f t="shared" si="14"/>
        <v>1.4603125492332341</v>
      </c>
      <c r="P40">
        <f t="shared" si="15"/>
        <v>1.4606819644079105</v>
      </c>
      <c r="Q40">
        <f t="shared" si="16"/>
        <v>1.4836311783269613</v>
      </c>
      <c r="S40">
        <f t="shared" si="20"/>
        <v>25</v>
      </c>
      <c r="T40">
        <f t="shared" si="3"/>
        <v>19.964049001987647</v>
      </c>
      <c r="U40">
        <f t="shared" si="4"/>
        <v>21.192166744797227</v>
      </c>
      <c r="V40">
        <f t="shared" si="5"/>
        <v>21.24080025263585</v>
      </c>
      <c r="W40">
        <f t="shared" si="21"/>
        <v>1.2767512506482035</v>
      </c>
      <c r="X40">
        <f t="shared" si="22"/>
        <v>4.8633507838623302E-2</v>
      </c>
    </row>
    <row r="41" spans="2:24" x14ac:dyDescent="0.25">
      <c r="B41">
        <f t="shared" si="8"/>
        <v>26</v>
      </c>
      <c r="C41">
        <f t="shared" si="9"/>
        <v>21.358352584556279</v>
      </c>
      <c r="D41">
        <f t="shared" si="10"/>
        <v>1.440951705642965</v>
      </c>
      <c r="F41">
        <f t="shared" si="6"/>
        <v>26</v>
      </c>
      <c r="G41">
        <f t="shared" si="7"/>
        <v>22.65059753887607</v>
      </c>
      <c r="H41">
        <f t="shared" si="0"/>
        <v>1.4820525690579949</v>
      </c>
      <c r="I41">
        <f t="shared" si="1"/>
        <v>24.132650107934065</v>
      </c>
      <c r="J41">
        <f t="shared" si="2"/>
        <v>1.5268562807213264</v>
      </c>
      <c r="L41">
        <f t="shared" si="11"/>
        <v>26</v>
      </c>
      <c r="M41">
        <f t="shared" si="12"/>
        <v>22.701255886610717</v>
      </c>
      <c r="N41">
        <f t="shared" si="13"/>
        <v>1.4836241633297995</v>
      </c>
      <c r="O41">
        <f t="shared" si="14"/>
        <v>1.5063081913928449</v>
      </c>
      <c r="P41">
        <f t="shared" si="15"/>
        <v>1.5066503022111906</v>
      </c>
      <c r="Q41">
        <f t="shared" si="16"/>
        <v>1.5290681609511561</v>
      </c>
      <c r="S41">
        <f t="shared" si="20"/>
        <v>26</v>
      </c>
      <c r="T41">
        <f t="shared" si="3"/>
        <v>21.358352584556279</v>
      </c>
      <c r="U41">
        <f t="shared" si="4"/>
        <v>22.65059753887607</v>
      </c>
      <c r="V41">
        <f t="shared" si="5"/>
        <v>22.701255886610717</v>
      </c>
      <c r="W41">
        <f t="shared" si="21"/>
        <v>1.3429033020544381</v>
      </c>
      <c r="X41">
        <f t="shared" si="22"/>
        <v>5.0658347734646725E-2</v>
      </c>
    </row>
    <row r="42" spans="2:24" x14ac:dyDescent="0.25">
      <c r="B42">
        <f t="shared" si="8"/>
        <v>27</v>
      </c>
      <c r="C42">
        <f t="shared" si="9"/>
        <v>22.799304290199245</v>
      </c>
      <c r="D42">
        <f t="shared" si="10"/>
        <v>1.4866576898764892</v>
      </c>
      <c r="F42">
        <f t="shared" si="6"/>
        <v>27</v>
      </c>
      <c r="G42">
        <f t="shared" si="7"/>
        <v>24.155051963765732</v>
      </c>
      <c r="H42">
        <f t="shared" si="0"/>
        <v>1.5275153237652392</v>
      </c>
      <c r="I42">
        <f t="shared" si="1"/>
        <v>25.682567287530972</v>
      </c>
      <c r="J42">
        <f t="shared" si="2"/>
        <v>1.5712412258705359</v>
      </c>
      <c r="L42">
        <f t="shared" si="11"/>
        <v>27</v>
      </c>
      <c r="M42">
        <f t="shared" si="12"/>
        <v>24.207690771858889</v>
      </c>
      <c r="N42">
        <f t="shared" si="13"/>
        <v>1.5290618380267631</v>
      </c>
      <c r="O42">
        <f t="shared" si="14"/>
        <v>1.5512002599568648</v>
      </c>
      <c r="P42">
        <f t="shared" si="15"/>
        <v>1.5515164089262385</v>
      </c>
      <c r="Q42">
        <f t="shared" si="16"/>
        <v>1.5733738187279007</v>
      </c>
      <c r="S42">
        <f t="shared" si="20"/>
        <v>27</v>
      </c>
      <c r="T42">
        <f t="shared" si="3"/>
        <v>22.799304290199245</v>
      </c>
      <c r="U42">
        <f t="shared" si="4"/>
        <v>24.155051963765732</v>
      </c>
      <c r="V42">
        <f t="shared" si="5"/>
        <v>24.207690771858889</v>
      </c>
      <c r="W42">
        <f t="shared" si="21"/>
        <v>1.4083864816596439</v>
      </c>
      <c r="X42">
        <f t="shared" si="22"/>
        <v>5.2638808093156797E-2</v>
      </c>
    </row>
    <row r="43" spans="2:24" x14ac:dyDescent="0.25">
      <c r="B43">
        <f t="shared" si="8"/>
        <v>28</v>
      </c>
      <c r="C43">
        <f t="shared" si="9"/>
        <v>24.285961980075733</v>
      </c>
      <c r="D43">
        <f t="shared" si="10"/>
        <v>1.5313560608553947</v>
      </c>
      <c r="F43">
        <f t="shared" si="6"/>
        <v>28</v>
      </c>
      <c r="G43">
        <f t="shared" si="7"/>
        <v>25.704430238583619</v>
      </c>
      <c r="H43">
        <f t="shared" si="0"/>
        <v>1.5718501691826179</v>
      </c>
      <c r="I43">
        <f t="shared" si="1"/>
        <v>27.276280407766237</v>
      </c>
      <c r="J43">
        <f t="shared" si="2"/>
        <v>1.6144427748170473</v>
      </c>
      <c r="L43">
        <f t="shared" si="11"/>
        <v>28</v>
      </c>
      <c r="M43">
        <f t="shared" si="12"/>
        <v>25.7590022709457</v>
      </c>
      <c r="N43">
        <f t="shared" si="13"/>
        <v>1.5733681244769491</v>
      </c>
      <c r="O43">
        <f t="shared" si="14"/>
        <v>1.5949332239996126</v>
      </c>
      <c r="P43">
        <f t="shared" si="15"/>
        <v>1.5952247390149841</v>
      </c>
      <c r="Q43">
        <f t="shared" si="16"/>
        <v>1.6164955126370804</v>
      </c>
      <c r="S43">
        <f t="shared" si="20"/>
        <v>28</v>
      </c>
      <c r="T43">
        <f t="shared" si="3"/>
        <v>24.285961980075733</v>
      </c>
      <c r="U43">
        <f t="shared" si="4"/>
        <v>25.704430238583619</v>
      </c>
      <c r="V43">
        <f t="shared" si="5"/>
        <v>25.7590022709457</v>
      </c>
      <c r="W43">
        <f t="shared" si="21"/>
        <v>1.4730402908699674</v>
      </c>
      <c r="X43">
        <f t="shared" si="22"/>
        <v>5.4572032362081302E-2</v>
      </c>
    </row>
    <row r="44" spans="2:24" x14ac:dyDescent="0.25">
      <c r="B44">
        <f t="shared" si="8"/>
        <v>29</v>
      </c>
      <c r="C44">
        <f t="shared" si="9"/>
        <v>25.817318040931127</v>
      </c>
      <c r="D44">
        <f t="shared" si="10"/>
        <v>1.5749870238294961</v>
      </c>
      <c r="F44">
        <f t="shared" si="6"/>
        <v>29</v>
      </c>
      <c r="G44">
        <f t="shared" si="7"/>
        <v>27.297576710583453</v>
      </c>
      <c r="H44">
        <f t="shared" si="0"/>
        <v>1.6150041603035321</v>
      </c>
      <c r="I44">
        <f t="shared" si="1"/>
        <v>28.912580870886984</v>
      </c>
      <c r="J44">
        <f t="shared" si="2"/>
        <v>1.6564136799848568</v>
      </c>
      <c r="L44">
        <f t="shared" si="11"/>
        <v>29</v>
      </c>
      <c r="M44">
        <f t="shared" si="12"/>
        <v>27.354032198136238</v>
      </c>
      <c r="N44">
        <f t="shared" si="13"/>
        <v>1.6164903890505355</v>
      </c>
      <c r="O44">
        <f t="shared" si="14"/>
        <v>1.6374573141449811</v>
      </c>
      <c r="P44">
        <f t="shared" si="15"/>
        <v>1.6377255031344256</v>
      </c>
      <c r="Q44">
        <f t="shared" si="16"/>
        <v>1.6583862556429756</v>
      </c>
      <c r="S44">
        <f t="shared" si="20"/>
        <v>29</v>
      </c>
      <c r="T44">
        <f t="shared" si="3"/>
        <v>25.817318040931127</v>
      </c>
      <c r="U44">
        <f t="shared" si="4"/>
        <v>27.297576710583453</v>
      </c>
      <c r="V44">
        <f t="shared" si="5"/>
        <v>27.354032198136238</v>
      </c>
      <c r="W44">
        <f t="shared" si="21"/>
        <v>1.5367141572051111</v>
      </c>
      <c r="X44">
        <f t="shared" si="22"/>
        <v>5.6455487552785399E-2</v>
      </c>
    </row>
    <row r="45" spans="2:24" x14ac:dyDescent="0.25">
      <c r="B45">
        <f t="shared" si="8"/>
        <v>30</v>
      </c>
      <c r="C45">
        <f t="shared" si="9"/>
        <v>27.392305064760624</v>
      </c>
      <c r="D45">
        <f t="shared" si="10"/>
        <v>1.6174963176011754</v>
      </c>
      <c r="F45">
        <f t="shared" si="6"/>
        <v>30</v>
      </c>
      <c r="G45">
        <f t="shared" si="7"/>
        <v>28.933285630727646</v>
      </c>
      <c r="H45">
        <f t="shared" si="0"/>
        <v>1.656930016125445</v>
      </c>
      <c r="I45">
        <f t="shared" si="1"/>
        <v>30.590215646853089</v>
      </c>
      <c r="J45">
        <f t="shared" si="2"/>
        <v>1.6971121473606501</v>
      </c>
      <c r="L45">
        <f t="shared" si="11"/>
        <v>30</v>
      </c>
      <c r="M45">
        <f t="shared" si="12"/>
        <v>28.991572578011624</v>
      </c>
      <c r="N45">
        <f t="shared" si="13"/>
        <v>1.6583816496865347</v>
      </c>
      <c r="O45">
        <f t="shared" si="14"/>
        <v>1.6787283054258979</v>
      </c>
      <c r="P45">
        <f t="shared" si="15"/>
        <v>1.678974451790521</v>
      </c>
      <c r="Q45">
        <f t="shared" si="16"/>
        <v>1.6990044923931531</v>
      </c>
      <c r="S45">
        <f t="shared" si="20"/>
        <v>30</v>
      </c>
      <c r="T45">
        <f t="shared" si="3"/>
        <v>27.392305064760624</v>
      </c>
      <c r="U45">
        <f t="shared" si="4"/>
        <v>28.933285630727646</v>
      </c>
      <c r="V45">
        <f t="shared" si="5"/>
        <v>28.991572578011624</v>
      </c>
      <c r="W45">
        <f t="shared" si="21"/>
        <v>1.5992675132510001</v>
      </c>
      <c r="X45">
        <f t="shared" si="22"/>
        <v>5.8286947283978208E-2</v>
      </c>
    </row>
    <row r="46" spans="2:24" x14ac:dyDescent="0.25">
      <c r="B46">
        <f t="shared" si="8"/>
        <v>31</v>
      </c>
      <c r="C46">
        <f t="shared" si="9"/>
        <v>29.0098013823618</v>
      </c>
      <c r="D46">
        <f t="shared" si="10"/>
        <v>1.6588350537027159</v>
      </c>
      <c r="F46">
        <f t="shared" si="6"/>
        <v>31</v>
      </c>
      <c r="G46">
        <f t="shared" si="7"/>
        <v>30.610306712470692</v>
      </c>
      <c r="H46">
        <f t="shared" si="0"/>
        <v>1.6975858997623587</v>
      </c>
      <c r="I46">
        <f t="shared" si="1"/>
        <v>32.307892612233047</v>
      </c>
      <c r="J46">
        <f t="shared" si="2"/>
        <v>1.7365016095726937</v>
      </c>
      <c r="L46">
        <f t="shared" si="11"/>
        <v>31</v>
      </c>
      <c r="M46">
        <f t="shared" si="12"/>
        <v>30.670371187430376</v>
      </c>
      <c r="N46">
        <f t="shared" si="13"/>
        <v>1.6990003556193811</v>
      </c>
      <c r="O46">
        <f t="shared" si="14"/>
        <v>1.7187072936847749</v>
      </c>
      <c r="P46">
        <f t="shared" si="15"/>
        <v>1.7189326524524924</v>
      </c>
      <c r="Q46">
        <f t="shared" si="16"/>
        <v>1.7383138734727408</v>
      </c>
      <c r="S46">
        <f t="shared" si="20"/>
        <v>31</v>
      </c>
      <c r="T46">
        <f t="shared" si="3"/>
        <v>29.0098013823618</v>
      </c>
      <c r="U46">
        <f t="shared" si="4"/>
        <v>30.610306712470692</v>
      </c>
      <c r="V46">
        <f t="shared" si="5"/>
        <v>30.670371187430376</v>
      </c>
      <c r="W46">
        <f t="shared" si="21"/>
        <v>1.660569805068576</v>
      </c>
      <c r="X46">
        <f t="shared" si="22"/>
        <v>6.0064474959684588E-2</v>
      </c>
    </row>
    <row r="47" spans="2:24" x14ac:dyDescent="0.25">
      <c r="B47">
        <f t="shared" si="8"/>
        <v>32</v>
      </c>
      <c r="C47">
        <f t="shared" si="9"/>
        <v>30.668636436064517</v>
      </c>
      <c r="D47">
        <f t="shared" si="10"/>
        <v>1.6989595434932308</v>
      </c>
      <c r="F47">
        <f t="shared" si="6"/>
        <v>32</v>
      </c>
      <c r="G47">
        <f t="shared" si="7"/>
        <v>32.327350467138217</v>
      </c>
      <c r="H47">
        <f t="shared" si="0"/>
        <v>1.7369351929610859</v>
      </c>
      <c r="I47">
        <f t="shared" si="1"/>
        <v>34.064285660099301</v>
      </c>
      <c r="J47">
        <f t="shared" si="2"/>
        <v>1.7745504954599156</v>
      </c>
      <c r="L47">
        <f t="shared" si="11"/>
        <v>32</v>
      </c>
      <c r="M47">
        <f t="shared" si="12"/>
        <v>32.389136874324819</v>
      </c>
      <c r="N47">
        <f t="shared" si="13"/>
        <v>1.7383101616596532</v>
      </c>
      <c r="O47">
        <f t="shared" si="14"/>
        <v>1.7573604675533929</v>
      </c>
      <c r="P47">
        <f t="shared" si="15"/>
        <v>1.7575662621729895</v>
      </c>
      <c r="Q47">
        <f t="shared" si="16"/>
        <v>1.776283026131896</v>
      </c>
      <c r="S47">
        <f t="shared" si="20"/>
        <v>32</v>
      </c>
      <c r="T47">
        <f t="shared" si="3"/>
        <v>30.668636436064517</v>
      </c>
      <c r="U47">
        <f t="shared" si="4"/>
        <v>32.327350467138217</v>
      </c>
      <c r="V47">
        <f t="shared" si="5"/>
        <v>32.389136874324819</v>
      </c>
      <c r="W47">
        <f t="shared" si="21"/>
        <v>1.7205004382603022</v>
      </c>
      <c r="X47">
        <f t="shared" si="22"/>
        <v>6.1786407186602332E-2</v>
      </c>
    </row>
    <row r="48" spans="2:24" x14ac:dyDescent="0.25">
      <c r="B48">
        <f t="shared" si="8"/>
        <v>33</v>
      </c>
      <c r="C48">
        <f t="shared" si="9"/>
        <v>32.367595979557748</v>
      </c>
      <c r="D48">
        <f t="shared" si="10"/>
        <v>1.7378311155476962</v>
      </c>
      <c r="F48">
        <f t="shared" si="6"/>
        <v>33</v>
      </c>
      <c r="G48">
        <f t="shared" si="7"/>
        <v>34.083093311348719</v>
      </c>
      <c r="H48">
        <f t="shared" si="0"/>
        <v>1.7749462669616338</v>
      </c>
      <c r="I48">
        <f t="shared" si="1"/>
        <v>35.858039578310354</v>
      </c>
      <c r="J48">
        <f t="shared" si="2"/>
        <v>1.8112319978252829</v>
      </c>
      <c r="L48">
        <f t="shared" si="11"/>
        <v>33</v>
      </c>
      <c r="M48">
        <f t="shared" si="12"/>
        <v>34.146544648865536</v>
      </c>
      <c r="N48">
        <f t="shared" si="13"/>
        <v>1.7762796989466616</v>
      </c>
      <c r="O48">
        <f t="shared" si="14"/>
        <v>1.7946588778085524</v>
      </c>
      <c r="P48">
        <f t="shared" si="15"/>
        <v>1.7948462975169519</v>
      </c>
      <c r="Q48">
        <f t="shared" si="16"/>
        <v>1.8128853231734881</v>
      </c>
      <c r="S48">
        <f t="shared" si="20"/>
        <v>33</v>
      </c>
      <c r="T48">
        <f t="shared" si="3"/>
        <v>32.367595979557748</v>
      </c>
      <c r="U48">
        <f t="shared" si="4"/>
        <v>34.083093311348719</v>
      </c>
      <c r="V48">
        <f t="shared" si="5"/>
        <v>34.146544648865536</v>
      </c>
      <c r="W48">
        <f t="shared" si="21"/>
        <v>1.7789486693077876</v>
      </c>
      <c r="X48">
        <f t="shared" si="22"/>
        <v>6.3451337516816864E-2</v>
      </c>
    </row>
    <row r="49" spans="2:24" x14ac:dyDescent="0.25">
      <c r="B49">
        <f t="shared" si="8"/>
        <v>34</v>
      </c>
      <c r="C49">
        <f t="shared" si="9"/>
        <v>34.105427095105448</v>
      </c>
      <c r="D49">
        <f t="shared" si="10"/>
        <v>1.7754159254707829</v>
      </c>
      <c r="F49">
        <f t="shared" si="6"/>
        <v>34</v>
      </c>
      <c r="G49">
        <f t="shared" si="7"/>
        <v>35.876182443742181</v>
      </c>
      <c r="H49">
        <f t="shared" si="0"/>
        <v>1.811592251408374</v>
      </c>
      <c r="I49">
        <f t="shared" si="1"/>
        <v>37.687774695150551</v>
      </c>
      <c r="J49">
        <f t="shared" si="2"/>
        <v>1.8465238408570486</v>
      </c>
      <c r="L49">
        <f t="shared" si="11"/>
        <v>34</v>
      </c>
      <c r="M49">
        <f t="shared" si="12"/>
        <v>35.941240544327393</v>
      </c>
      <c r="N49">
        <f t="shared" si="13"/>
        <v>1.8128823438599162</v>
      </c>
      <c r="O49">
        <f t="shared" si="14"/>
        <v>1.8305782056804734</v>
      </c>
      <c r="P49">
        <f t="shared" si="15"/>
        <v>1.8307484033820762</v>
      </c>
      <c r="Q49">
        <f t="shared" si="16"/>
        <v>1.8480986514790352</v>
      </c>
      <c r="S49">
        <f t="shared" si="20"/>
        <v>34</v>
      </c>
      <c r="T49">
        <f t="shared" si="3"/>
        <v>34.105427095105448</v>
      </c>
      <c r="U49">
        <f t="shared" si="4"/>
        <v>35.876182443742181</v>
      </c>
      <c r="V49">
        <f t="shared" si="5"/>
        <v>35.941240544327393</v>
      </c>
      <c r="W49">
        <f t="shared" si="21"/>
        <v>1.8358134492219449</v>
      </c>
      <c r="X49">
        <f t="shared" si="22"/>
        <v>6.5058100585211776E-2</v>
      </c>
    </row>
    <row r="50" spans="2:24" x14ac:dyDescent="0.25">
      <c r="B50">
        <f t="shared" si="8"/>
        <v>35</v>
      </c>
      <c r="C50">
        <f t="shared" si="9"/>
        <v>35.880843020576229</v>
      </c>
      <c r="D50">
        <f t="shared" si="10"/>
        <v>1.8116847600465487</v>
      </c>
      <c r="F50">
        <f t="shared" si="6"/>
        <v>35</v>
      </c>
      <c r="G50">
        <f t="shared" si="7"/>
        <v>37.705240489874889</v>
      </c>
      <c r="H50">
        <f t="shared" si="0"/>
        <v>1.846850802807211</v>
      </c>
      <c r="I50">
        <f t="shared" si="1"/>
        <v>39.5520912926821</v>
      </c>
      <c r="J50">
        <f t="shared" si="2"/>
        <v>1.8804080485111119</v>
      </c>
      <c r="L50">
        <f t="shared" si="11"/>
        <v>35</v>
      </c>
      <c r="M50">
        <f t="shared" si="12"/>
        <v>37.7718462465714</v>
      </c>
      <c r="N50">
        <f t="shared" si="13"/>
        <v>1.8480959865675179</v>
      </c>
      <c r="O50">
        <f t="shared" si="14"/>
        <v>1.8650985314923563</v>
      </c>
      <c r="P50">
        <f t="shared" si="15"/>
        <v>1.8652526220947721</v>
      </c>
      <c r="Q50">
        <f t="shared" si="16"/>
        <v>1.8819051814617944</v>
      </c>
      <c r="S50">
        <f t="shared" si="20"/>
        <v>35</v>
      </c>
      <c r="T50">
        <f t="shared" si="3"/>
        <v>35.880843020576229</v>
      </c>
      <c r="U50">
        <f t="shared" si="4"/>
        <v>37.705240489874889</v>
      </c>
      <c r="V50">
        <f t="shared" si="5"/>
        <v>37.7718462465714</v>
      </c>
      <c r="W50">
        <f t="shared" si="21"/>
        <v>1.8910032259951706</v>
      </c>
      <c r="X50">
        <f t="shared" si="22"/>
        <v>6.6605756696510809E-2</v>
      </c>
    </row>
    <row r="51" spans="2:24" x14ac:dyDescent="0.25">
      <c r="B51">
        <f t="shared" si="8"/>
        <v>36</v>
      </c>
      <c r="C51">
        <f t="shared" si="9"/>
        <v>37.692527780622775</v>
      </c>
      <c r="D51">
        <f t="shared" si="10"/>
        <v>1.846612837430506</v>
      </c>
      <c r="F51">
        <f t="shared" si="6"/>
        <v>36</v>
      </c>
      <c r="G51">
        <f t="shared" si="7"/>
        <v>39.568869915534052</v>
      </c>
      <c r="H51">
        <f t="shared" si="0"/>
        <v>1.8807038738327273</v>
      </c>
      <c r="I51">
        <f t="shared" si="1"/>
        <v>41.449573789366781</v>
      </c>
      <c r="J51">
        <f t="shared" si="2"/>
        <v>1.9128707149758175</v>
      </c>
      <c r="L51">
        <f t="shared" si="11"/>
        <v>36</v>
      </c>
      <c r="M51">
        <f t="shared" si="12"/>
        <v>39.63696349243866</v>
      </c>
      <c r="N51">
        <f t="shared" si="13"/>
        <v>1.8819028005003726</v>
      </c>
      <c r="O51">
        <f t="shared" si="14"/>
        <v>1.8982041048299798</v>
      </c>
      <c r="P51">
        <f t="shared" si="15"/>
        <v>1.8983431639854991</v>
      </c>
      <c r="Q51">
        <f t="shared" si="16"/>
        <v>1.9142911385651442</v>
      </c>
      <c r="S51">
        <f t="shared" si="20"/>
        <v>36</v>
      </c>
      <c r="T51">
        <f t="shared" si="3"/>
        <v>37.692527780622775</v>
      </c>
      <c r="U51">
        <f t="shared" si="4"/>
        <v>39.568869915534052</v>
      </c>
      <c r="V51">
        <f t="shared" si="5"/>
        <v>39.63696349243866</v>
      </c>
      <c r="W51">
        <f t="shared" si="21"/>
        <v>1.9444357118158848</v>
      </c>
      <c r="X51">
        <f t="shared" si="22"/>
        <v>6.809357690460871E-2</v>
      </c>
    </row>
    <row r="52" spans="2:24" x14ac:dyDescent="0.25">
      <c r="B52">
        <f t="shared" si="8"/>
        <v>37</v>
      </c>
      <c r="C52">
        <f t="shared" si="9"/>
        <v>39.539140618053281</v>
      </c>
      <c r="D52">
        <f t="shared" si="10"/>
        <v>1.8801796049023474</v>
      </c>
      <c r="F52">
        <f t="shared" si="6"/>
        <v>37</v>
      </c>
      <c r="G52">
        <f t="shared" si="7"/>
        <v>41.465657209938321</v>
      </c>
      <c r="H52">
        <f t="shared" si="0"/>
        <v>1.9131374846164895</v>
      </c>
      <c r="I52">
        <f t="shared" si="1"/>
        <v>43.378794694554813</v>
      </c>
      <c r="J52">
        <f t="shared" si="2"/>
        <v>1.9439017781854917</v>
      </c>
      <c r="L52">
        <f t="shared" si="11"/>
        <v>37</v>
      </c>
      <c r="M52">
        <f t="shared" si="12"/>
        <v>41.535178238554742</v>
      </c>
      <c r="N52">
        <f t="shared" si="13"/>
        <v>1.9142890138704372</v>
      </c>
      <c r="O52">
        <f t="shared" si="14"/>
        <v>1.929883117278145</v>
      </c>
      <c r="P52">
        <f t="shared" si="15"/>
        <v>1.9300081804849136</v>
      </c>
      <c r="Q52">
        <f t="shared" si="16"/>
        <v>1.9452465777701862</v>
      </c>
      <c r="S52">
        <f t="shared" si="20"/>
        <v>37</v>
      </c>
      <c r="T52">
        <f t="shared" si="3"/>
        <v>39.539140618053281</v>
      </c>
      <c r="U52">
        <f t="shared" si="4"/>
        <v>41.465657209938321</v>
      </c>
      <c r="V52">
        <f t="shared" si="5"/>
        <v>41.535178238554742</v>
      </c>
      <c r="W52">
        <f t="shared" si="21"/>
        <v>1.9960376205014612</v>
      </c>
      <c r="X52">
        <f t="shared" si="22"/>
        <v>6.9521028616421177E-2</v>
      </c>
    </row>
    <row r="53" spans="2:24" x14ac:dyDescent="0.25">
      <c r="B53">
        <f t="shared" si="8"/>
        <v>38</v>
      </c>
      <c r="C53">
        <f t="shared" si="9"/>
        <v>41.419320222955626</v>
      </c>
      <c r="D53">
        <f t="shared" si="10"/>
        <v>1.9123685355246354</v>
      </c>
      <c r="F53">
        <f t="shared" si="6"/>
        <v>38</v>
      </c>
      <c r="G53">
        <f t="shared" si="7"/>
        <v>43.394176841339309</v>
      </c>
      <c r="H53">
        <f t="shared" si="0"/>
        <v>1.9441414969919319</v>
      </c>
      <c r="I53">
        <f t="shared" si="1"/>
        <v>45.338318338331241</v>
      </c>
      <c r="J53">
        <f t="shared" si="2"/>
        <v>1.9734947972093493</v>
      </c>
      <c r="L53">
        <f t="shared" si="11"/>
        <v>38</v>
      </c>
      <c r="M53">
        <f t="shared" si="12"/>
        <v>43.465064603082531</v>
      </c>
      <c r="N53">
        <f t="shared" si="13"/>
        <v>1.9452446841969069</v>
      </c>
      <c r="O53">
        <f t="shared" si="14"/>
        <v>1.9601274786146043</v>
      </c>
      <c r="P53">
        <f t="shared" si="15"/>
        <v>1.9602395406356832</v>
      </c>
      <c r="Q53">
        <f t="shared" si="16"/>
        <v>1.9747651619376301</v>
      </c>
      <c r="S53">
        <f t="shared" si="20"/>
        <v>38</v>
      </c>
      <c r="T53">
        <f t="shared" si="3"/>
        <v>41.419320222955626</v>
      </c>
      <c r="U53">
        <f t="shared" si="4"/>
        <v>43.394176841339309</v>
      </c>
      <c r="V53">
        <f t="shared" si="5"/>
        <v>43.465064603082531</v>
      </c>
      <c r="W53">
        <f t="shared" si="21"/>
        <v>2.0457443801269051</v>
      </c>
      <c r="X53">
        <f t="shared" si="22"/>
        <v>7.08877617432222E-2</v>
      </c>
    </row>
    <row r="54" spans="2:24" x14ac:dyDescent="0.25">
      <c r="B54">
        <f t="shared" si="8"/>
        <v>39</v>
      </c>
      <c r="C54">
        <f t="shared" si="9"/>
        <v>43.331688758480261</v>
      </c>
      <c r="D54">
        <f t="shared" si="10"/>
        <v>1.943166924894191</v>
      </c>
      <c r="F54">
        <f t="shared" si="6"/>
        <v>39</v>
      </c>
      <c r="G54">
        <f t="shared" si="7"/>
        <v>45.352994988439953</v>
      </c>
      <c r="H54">
        <f t="shared" si="0"/>
        <v>1.9737093925307629</v>
      </c>
      <c r="I54">
        <f t="shared" si="1"/>
        <v>47.326704380970718</v>
      </c>
      <c r="J54">
        <f t="shared" si="2"/>
        <v>2.0016467342168069</v>
      </c>
      <c r="L54">
        <f t="shared" si="11"/>
        <v>39</v>
      </c>
      <c r="M54">
        <f t="shared" si="12"/>
        <v>45.425188583855046</v>
      </c>
      <c r="N54">
        <f t="shared" si="13"/>
        <v>1.9747634766655178</v>
      </c>
      <c r="O54">
        <f t="shared" si="14"/>
        <v>1.9889325972205099</v>
      </c>
      <c r="P54">
        <f t="shared" si="15"/>
        <v>1.9890326117828803</v>
      </c>
      <c r="Q54">
        <f t="shared" si="16"/>
        <v>2.0028439446840407</v>
      </c>
      <c r="S54">
        <f t="shared" si="20"/>
        <v>39</v>
      </c>
      <c r="T54">
        <f t="shared" si="3"/>
        <v>43.331688758480261</v>
      </c>
      <c r="U54">
        <f t="shared" si="4"/>
        <v>45.352994988439953</v>
      </c>
      <c r="V54">
        <f t="shared" si="5"/>
        <v>45.425188583855046</v>
      </c>
      <c r="W54">
        <f t="shared" si="21"/>
        <v>2.093499825374785</v>
      </c>
      <c r="X54">
        <f t="shared" si="22"/>
        <v>7.2193595415093625E-2</v>
      </c>
    </row>
    <row r="55" spans="2:24" x14ac:dyDescent="0.25">
      <c r="B55">
        <f t="shared" si="8"/>
        <v>40</v>
      </c>
      <c r="C55">
        <f t="shared" si="9"/>
        <v>45.274855683374454</v>
      </c>
      <c r="D55">
        <f t="shared" si="10"/>
        <v>1.9725656890277818</v>
      </c>
      <c r="F55">
        <f t="shared" si="6"/>
        <v>40</v>
      </c>
      <c r="G55">
        <f t="shared" si="7"/>
        <v>47.340673051813738</v>
      </c>
      <c r="H55">
        <f t="shared" si="0"/>
        <v>2.0018380550796855</v>
      </c>
      <c r="I55">
        <f t="shared" si="1"/>
        <v>49.342511106893426</v>
      </c>
      <c r="J55">
        <f t="shared" si="2"/>
        <v>2.0283577416075014</v>
      </c>
      <c r="L55">
        <f t="shared" si="11"/>
        <v>40</v>
      </c>
      <c r="M55">
        <f t="shared" si="12"/>
        <v>47.4141115570811</v>
      </c>
      <c r="N55">
        <f t="shared" si="13"/>
        <v>2.0028424470210462</v>
      </c>
      <c r="O55">
        <f t="shared" si="14"/>
        <v>2.0162971653481576</v>
      </c>
      <c r="P55">
        <f t="shared" si="15"/>
        <v>2.0163860450872866</v>
      </c>
      <c r="Q55">
        <f t="shared" si="16"/>
        <v>2.0294831583803079</v>
      </c>
      <c r="S55">
        <f t="shared" si="20"/>
        <v>40</v>
      </c>
      <c r="T55">
        <f t="shared" si="3"/>
        <v>45.274855683374454</v>
      </c>
      <c r="U55">
        <f t="shared" si="4"/>
        <v>47.340673051813738</v>
      </c>
      <c r="V55">
        <f t="shared" si="5"/>
        <v>47.4141115570811</v>
      </c>
      <c r="W55">
        <f t="shared" si="21"/>
        <v>2.1392558737066452</v>
      </c>
      <c r="X55">
        <f t="shared" si="22"/>
        <v>7.343850526736162E-2</v>
      </c>
    </row>
    <row r="56" spans="2:24" x14ac:dyDescent="0.25">
      <c r="B56">
        <f t="shared" si="8"/>
        <v>41</v>
      </c>
      <c r="C56">
        <f t="shared" si="9"/>
        <v>47.247421372402236</v>
      </c>
      <c r="D56">
        <f t="shared" si="10"/>
        <v>2.0005591642912011</v>
      </c>
      <c r="F56">
        <f t="shared" si="6"/>
        <v>41</v>
      </c>
      <c r="G56">
        <f t="shared" si="7"/>
        <v>49.355770950157329</v>
      </c>
      <c r="H56">
        <f t="shared" si="0"/>
        <v>2.0285275583926987</v>
      </c>
      <c r="I56">
        <f t="shared" si="1"/>
        <v>51.384298508550025</v>
      </c>
      <c r="J56">
        <f t="shared" si="2"/>
        <v>2.0536309547932188</v>
      </c>
      <c r="L56">
        <f t="shared" si="11"/>
        <v>41</v>
      </c>
      <c r="M56">
        <f t="shared" si="12"/>
        <v>49.430393561459809</v>
      </c>
      <c r="N56">
        <f t="shared" si="13"/>
        <v>2.0294818295809485</v>
      </c>
      <c r="O56">
        <f t="shared" si="14"/>
        <v>2.0422229497805953</v>
      </c>
      <c r="P56">
        <f t="shared" si="15"/>
        <v>2.0423015663994537</v>
      </c>
      <c r="Q56">
        <f t="shared" si="16"/>
        <v>2.0546860077595506</v>
      </c>
      <c r="S56">
        <f t="shared" si="20"/>
        <v>41</v>
      </c>
      <c r="T56">
        <f t="shared" si="3"/>
        <v>47.247421372402236</v>
      </c>
      <c r="U56">
        <f t="shared" si="4"/>
        <v>49.355770950157329</v>
      </c>
      <c r="V56">
        <f t="shared" si="5"/>
        <v>49.430393561459809</v>
      </c>
      <c r="W56">
        <f t="shared" si="21"/>
        <v>2.1829721890575726</v>
      </c>
      <c r="X56">
        <f t="shared" si="22"/>
        <v>7.4622611302480379E-2</v>
      </c>
    </row>
    <row r="57" spans="2:24" x14ac:dyDescent="0.25">
      <c r="B57">
        <f t="shared" si="8"/>
        <v>42</v>
      </c>
      <c r="C57">
        <f t="shared" si="9"/>
        <v>49.24798053669344</v>
      </c>
      <c r="D57">
        <f t="shared" si="10"/>
        <v>2.0271449101599948</v>
      </c>
      <c r="F57">
        <f t="shared" si="6"/>
        <v>42</v>
      </c>
      <c r="G57">
        <f t="shared" si="7"/>
        <v>51.396850206750287</v>
      </c>
      <c r="H57">
        <f t="shared" si="0"/>
        <v>2.053780959352737</v>
      </c>
      <c r="I57">
        <f t="shared" si="1"/>
        <v>53.450631166103022</v>
      </c>
      <c r="J57">
        <f t="shared" si="2"/>
        <v>2.077472291028565</v>
      </c>
      <c r="L57">
        <f t="shared" si="11"/>
        <v>42</v>
      </c>
      <c r="M57">
        <f t="shared" si="12"/>
        <v>51.472596373076577</v>
      </c>
      <c r="N57">
        <f t="shared" si="13"/>
        <v>2.0546848308573846</v>
      </c>
      <c r="O57">
        <f t="shared" si="14"/>
        <v>2.0667145883226556</v>
      </c>
      <c r="P57">
        <f t="shared" si="15"/>
        <v>2.0667837729370158</v>
      </c>
      <c r="Q57">
        <f t="shared" si="16"/>
        <v>2.078458469531633</v>
      </c>
      <c r="S57">
        <f t="shared" si="20"/>
        <v>42</v>
      </c>
      <c r="T57">
        <f t="shared" si="3"/>
        <v>49.24798053669344</v>
      </c>
      <c r="U57">
        <f t="shared" si="4"/>
        <v>51.396850206750287</v>
      </c>
      <c r="V57">
        <f t="shared" si="5"/>
        <v>51.472596373076577</v>
      </c>
      <c r="W57">
        <f t="shared" si="21"/>
        <v>2.224615836383137</v>
      </c>
      <c r="X57">
        <f t="shared" si="22"/>
        <v>7.5746166326290165E-2</v>
      </c>
    </row>
    <row r="58" spans="2:24" x14ac:dyDescent="0.25">
      <c r="B58">
        <f t="shared" si="8"/>
        <v>43</v>
      </c>
      <c r="C58">
        <f t="shared" si="9"/>
        <v>51.275125446853437</v>
      </c>
      <c r="D58">
        <f t="shared" si="10"/>
        <v>2.0523235154902548</v>
      </c>
      <c r="F58">
        <f t="shared" si="6"/>
        <v>43</v>
      </c>
      <c r="G58">
        <f t="shared" si="7"/>
        <v>53.46247683194094</v>
      </c>
      <c r="H58">
        <f t="shared" si="0"/>
        <v>2.0776040971853673</v>
      </c>
      <c r="I58">
        <f t="shared" si="1"/>
        <v>55.540080929126304</v>
      </c>
      <c r="J58">
        <f t="shared" si="2"/>
        <v>2.0998902546065019</v>
      </c>
      <c r="L58">
        <f t="shared" si="11"/>
        <v>43</v>
      </c>
      <c r="M58">
        <f t="shared" si="12"/>
        <v>53.539286376894637</v>
      </c>
      <c r="N58">
        <f t="shared" si="13"/>
        <v>2.0784574291848865</v>
      </c>
      <c r="O58">
        <f t="shared" si="14"/>
        <v>2.0897793924779093</v>
      </c>
      <c r="P58">
        <f t="shared" si="15"/>
        <v>2.0898399361225413</v>
      </c>
      <c r="Q58">
        <f t="shared" si="16"/>
        <v>2.1008090983210472</v>
      </c>
      <c r="S58">
        <f t="shared" si="20"/>
        <v>43</v>
      </c>
      <c r="T58">
        <f t="shared" si="3"/>
        <v>51.275125446853437</v>
      </c>
      <c r="U58">
        <f t="shared" si="4"/>
        <v>53.46247683194094</v>
      </c>
      <c r="V58">
        <f t="shared" si="5"/>
        <v>53.539286376894637</v>
      </c>
      <c r="W58">
        <f t="shared" si="21"/>
        <v>2.2641609300412</v>
      </c>
      <c r="X58">
        <f t="shared" si="22"/>
        <v>7.6809544953697184E-2</v>
      </c>
    </row>
    <row r="59" spans="2:24" x14ac:dyDescent="0.25">
      <c r="B59">
        <f t="shared" si="8"/>
        <v>44</v>
      </c>
      <c r="C59">
        <f t="shared" si="9"/>
        <v>53.327448962343695</v>
      </c>
      <c r="D59">
        <f t="shared" si="10"/>
        <v>2.076098408878106</v>
      </c>
      <c r="F59">
        <f t="shared" si="6"/>
        <v>44</v>
      </c>
      <c r="G59">
        <f t="shared" si="7"/>
        <v>55.551224007836872</v>
      </c>
      <c r="H59">
        <f t="shared" si="0"/>
        <v>2.1000053989861343</v>
      </c>
      <c r="I59">
        <f t="shared" si="1"/>
        <v>57.651229406823006</v>
      </c>
      <c r="J59">
        <f t="shared" si="2"/>
        <v>2.1208957486630307</v>
      </c>
      <c r="L59">
        <f t="shared" si="11"/>
        <v>44</v>
      </c>
      <c r="M59">
        <f t="shared" si="12"/>
        <v>55.629037241012441</v>
      </c>
      <c r="N59">
        <f t="shared" si="13"/>
        <v>2.100808180670457</v>
      </c>
      <c r="O59">
        <f t="shared" si="14"/>
        <v>2.1114271565903171</v>
      </c>
      <c r="P59">
        <f t="shared" si="15"/>
        <v>2.1114798108631421</v>
      </c>
      <c r="Q59">
        <f t="shared" si="16"/>
        <v>2.1217488391733439</v>
      </c>
      <c r="S59">
        <f t="shared" si="20"/>
        <v>44</v>
      </c>
      <c r="T59">
        <f t="shared" si="3"/>
        <v>53.327448962343695</v>
      </c>
      <c r="U59">
        <f t="shared" si="4"/>
        <v>55.551224007836872</v>
      </c>
      <c r="V59">
        <f t="shared" si="5"/>
        <v>55.629037241012441</v>
      </c>
      <c r="W59">
        <f t="shared" si="21"/>
        <v>2.3015882786687456</v>
      </c>
      <c r="X59">
        <f t="shared" si="22"/>
        <v>7.7813233175568541E-2</v>
      </c>
    </row>
    <row r="60" spans="2:24" x14ac:dyDescent="0.25">
      <c r="B60">
        <f t="shared" si="8"/>
        <v>45</v>
      </c>
      <c r="C60">
        <f t="shared" si="9"/>
        <v>55.403547371221798</v>
      </c>
      <c r="D60">
        <f t="shared" si="10"/>
        <v>2.0984756735961851</v>
      </c>
      <c r="F60">
        <f t="shared" si="6"/>
        <v>45</v>
      </c>
      <c r="G60">
        <f t="shared" si="7"/>
        <v>57.661674581661458</v>
      </c>
      <c r="H60">
        <f t="shared" si="0"/>
        <v>2.1209956918108008</v>
      </c>
      <c r="I60">
        <f t="shared" si="1"/>
        <v>59.782670273472256</v>
      </c>
      <c r="J60">
        <f t="shared" si="2"/>
        <v>2.1405018937714972</v>
      </c>
      <c r="L60">
        <f t="shared" si="11"/>
        <v>45</v>
      </c>
      <c r="M60">
        <f t="shared" si="12"/>
        <v>57.740432400137557</v>
      </c>
      <c r="N60">
        <f t="shared" si="13"/>
        <v>2.1217480317113488</v>
      </c>
      <c r="O60">
        <f t="shared" si="14"/>
        <v>2.1316699736618512</v>
      </c>
      <c r="P60">
        <f t="shared" si="15"/>
        <v>2.1317154514854355</v>
      </c>
      <c r="Q60">
        <f t="shared" si="16"/>
        <v>2.1412908468115908</v>
      </c>
      <c r="S60">
        <f t="shared" si="20"/>
        <v>45</v>
      </c>
      <c r="T60">
        <f t="shared" si="3"/>
        <v>55.403547371221798</v>
      </c>
      <c r="U60">
        <f t="shared" si="4"/>
        <v>57.661674581661458</v>
      </c>
      <c r="V60">
        <f t="shared" si="5"/>
        <v>57.740432400137557</v>
      </c>
      <c r="W60">
        <f t="shared" si="21"/>
        <v>2.3368850289157592</v>
      </c>
      <c r="X60">
        <f t="shared" si="22"/>
        <v>7.8757818476098862E-2</v>
      </c>
    </row>
    <row r="61" spans="2:24" x14ac:dyDescent="0.25">
      <c r="B61">
        <f t="shared" si="8"/>
        <v>46</v>
      </c>
      <c r="C61">
        <f t="shared" si="9"/>
        <v>57.502023044817982</v>
      </c>
      <c r="D61">
        <f t="shared" si="10"/>
        <v>2.1194638675137605</v>
      </c>
      <c r="F61">
        <f t="shared" si="6"/>
        <v>46</v>
      </c>
      <c r="G61">
        <f t="shared" si="7"/>
        <v>59.792423374452611</v>
      </c>
      <c r="H61">
        <f t="shared" si="0"/>
        <v>2.140588021513536</v>
      </c>
      <c r="I61">
        <f t="shared" si="1"/>
        <v>61.933011395966147</v>
      </c>
      <c r="J61">
        <f t="shared" si="2"/>
        <v>2.1587238534504278</v>
      </c>
      <c r="L61">
        <f t="shared" si="11"/>
        <v>46</v>
      </c>
      <c r="M61">
        <f t="shared" si="12"/>
        <v>59.872067354940476</v>
      </c>
      <c r="N61">
        <f t="shared" si="13"/>
        <v>2.1412901382620415</v>
      </c>
      <c r="O61">
        <f t="shared" si="14"/>
        <v>2.150522057997621</v>
      </c>
      <c r="P61">
        <f t="shared" si="15"/>
        <v>2.1505610344794559</v>
      </c>
      <c r="Q61">
        <f t="shared" si="16"/>
        <v>2.1594503117680257</v>
      </c>
      <c r="S61">
        <f t="shared" si="20"/>
        <v>46</v>
      </c>
      <c r="T61">
        <f t="shared" si="3"/>
        <v>57.502023044817982</v>
      </c>
      <c r="U61">
        <f t="shared" si="4"/>
        <v>59.792423374452611</v>
      </c>
      <c r="V61">
        <f t="shared" si="5"/>
        <v>59.872067354940476</v>
      </c>
      <c r="W61">
        <f t="shared" si="21"/>
        <v>2.3700443101224948</v>
      </c>
      <c r="X61">
        <f t="shared" si="22"/>
        <v>7.9643980487865917E-2</v>
      </c>
    </row>
    <row r="62" spans="2:24" x14ac:dyDescent="0.25">
      <c r="B62">
        <f t="shared" si="8"/>
        <v>47</v>
      </c>
      <c r="C62">
        <f t="shared" si="9"/>
        <v>59.62148691233174</v>
      </c>
      <c r="D62">
        <f t="shared" si="10"/>
        <v>2.1390738483334761</v>
      </c>
      <c r="F62">
        <f t="shared" si="6"/>
        <v>47</v>
      </c>
      <c r="G62">
        <f t="shared" si="7"/>
        <v>61.942079311934592</v>
      </c>
      <c r="H62">
        <f t="shared" si="0"/>
        <v>2.1587974784611292</v>
      </c>
      <c r="I62">
        <f t="shared" si="1"/>
        <v>64.100876790395716</v>
      </c>
      <c r="J62">
        <f t="shared" si="2"/>
        <v>2.1755786666590033</v>
      </c>
      <c r="L62">
        <f t="shared" si="11"/>
        <v>47</v>
      </c>
      <c r="M62">
        <f t="shared" si="12"/>
        <v>62.022551794104515</v>
      </c>
      <c r="N62">
        <f t="shared" si="13"/>
        <v>2.1594496919756536</v>
      </c>
      <c r="O62">
        <f t="shared" si="14"/>
        <v>2.1679995747770513</v>
      </c>
      <c r="P62">
        <f t="shared" si="15"/>
        <v>2.1680326881519614</v>
      </c>
      <c r="Q62">
        <f t="shared" si="16"/>
        <v>2.1762442934662318</v>
      </c>
      <c r="S62">
        <f t="shared" si="20"/>
        <v>47</v>
      </c>
      <c r="T62">
        <f t="shared" si="3"/>
        <v>59.62148691233174</v>
      </c>
      <c r="U62">
        <f t="shared" si="4"/>
        <v>61.942079311934592</v>
      </c>
      <c r="V62">
        <f t="shared" si="5"/>
        <v>62.022551794104515</v>
      </c>
      <c r="W62">
        <f t="shared" si="21"/>
        <v>2.4010648817727755</v>
      </c>
      <c r="X62">
        <f t="shared" si="22"/>
        <v>8.0472482169923865E-2</v>
      </c>
    </row>
    <row r="63" spans="2:24" x14ac:dyDescent="0.25">
      <c r="B63">
        <f t="shared" si="8"/>
        <v>48</v>
      </c>
      <c r="C63">
        <f t="shared" si="9"/>
        <v>61.760560760665214</v>
      </c>
      <c r="D63">
        <f t="shared" si="10"/>
        <v>2.157318604411524</v>
      </c>
      <c r="F63">
        <f t="shared" si="6"/>
        <v>48</v>
      </c>
      <c r="G63">
        <f t="shared" si="7"/>
        <v>64.109267384494657</v>
      </c>
      <c r="H63">
        <f t="shared" si="0"/>
        <v>2.1756410302011226</v>
      </c>
      <c r="I63">
        <f t="shared" si="1"/>
        <v>66.284908414695778</v>
      </c>
      <c r="J63">
        <f t="shared" si="2"/>
        <v>2.1910850873102974</v>
      </c>
      <c r="L63">
        <f t="shared" si="11"/>
        <v>48</v>
      </c>
      <c r="M63">
        <f t="shared" si="12"/>
        <v>64.190511545987832</v>
      </c>
      <c r="N63">
        <f t="shared" si="13"/>
        <v>2.1762437532951608</v>
      </c>
      <c r="O63">
        <f t="shared" si="14"/>
        <v>2.1841204766030478</v>
      </c>
      <c r="P63">
        <f t="shared" si="15"/>
        <v>2.1841483292428499</v>
      </c>
      <c r="Q63">
        <f t="shared" si="16"/>
        <v>2.1916915602854208</v>
      </c>
      <c r="S63">
        <f t="shared" si="20"/>
        <v>48</v>
      </c>
      <c r="T63">
        <f t="shared" si="3"/>
        <v>61.760560760665214</v>
      </c>
      <c r="U63">
        <f t="shared" si="4"/>
        <v>64.109267384494657</v>
      </c>
      <c r="V63">
        <f t="shared" si="5"/>
        <v>64.190511545987832</v>
      </c>
      <c r="W63">
        <f t="shared" si="21"/>
        <v>2.4299507853226174</v>
      </c>
      <c r="X63">
        <f t="shared" si="22"/>
        <v>8.1244161493174261E-2</v>
      </c>
    </row>
    <row r="64" spans="2:24" x14ac:dyDescent="0.25">
      <c r="B64">
        <f t="shared" si="8"/>
        <v>49</v>
      </c>
      <c r="C64">
        <f t="shared" si="9"/>
        <v>63.917879365076736</v>
      </c>
      <c r="D64">
        <f t="shared" si="10"/>
        <v>2.1742130913686362</v>
      </c>
      <c r="F64">
        <f t="shared" si="6"/>
        <v>49</v>
      </c>
      <c r="G64">
        <f t="shared" si="7"/>
        <v>66.292630443250374</v>
      </c>
      <c r="H64">
        <f t="shared" si="0"/>
        <v>2.1911373611175087</v>
      </c>
      <c r="I64">
        <f t="shared" si="1"/>
        <v>68.483767804367886</v>
      </c>
      <c r="J64">
        <f t="shared" si="2"/>
        <v>2.2052634307940329</v>
      </c>
      <c r="L64">
        <f t="shared" si="11"/>
        <v>49</v>
      </c>
      <c r="M64">
        <f t="shared" si="12"/>
        <v>66.374590366866556</v>
      </c>
      <c r="N64">
        <f t="shared" si="13"/>
        <v>2.191691091526017</v>
      </c>
      <c r="O64">
        <f t="shared" si="14"/>
        <v>2.1989043470401572</v>
      </c>
      <c r="P64">
        <f t="shared" si="15"/>
        <v>2.198927506517204</v>
      </c>
      <c r="Q64">
        <f t="shared" si="16"/>
        <v>2.2058124365999419</v>
      </c>
      <c r="S64">
        <f t="shared" si="20"/>
        <v>49</v>
      </c>
      <c r="T64">
        <f t="shared" si="3"/>
        <v>63.917879365076736</v>
      </c>
      <c r="U64">
        <f t="shared" si="4"/>
        <v>66.292630443250374</v>
      </c>
      <c r="V64">
        <f t="shared" si="5"/>
        <v>66.374590366866556</v>
      </c>
      <c r="W64">
        <f t="shared" si="21"/>
        <v>2.4567110017898202</v>
      </c>
      <c r="X64">
        <f t="shared" si="22"/>
        <v>8.1959923616182095E-2</v>
      </c>
    </row>
    <row r="65" spans="2:24" x14ac:dyDescent="0.25">
      <c r="B65">
        <f t="shared" si="8"/>
        <v>50</v>
      </c>
      <c r="C65">
        <f t="shared" si="9"/>
        <v>66.092092456445371</v>
      </c>
      <c r="D65">
        <f t="shared" si="10"/>
        <v>2.1897740746461047</v>
      </c>
      <c r="F65">
        <f t="shared" si="6"/>
        <v>50</v>
      </c>
      <c r="G65">
        <f t="shared" si="7"/>
        <v>68.49083083920614</v>
      </c>
      <c r="H65">
        <f t="shared" si="0"/>
        <v>2.2053067190688949</v>
      </c>
      <c r="I65">
        <f t="shared" si="1"/>
        <v>70.696137558275041</v>
      </c>
      <c r="J65">
        <f t="shared" si="2"/>
        <v>2.2181354274670708</v>
      </c>
      <c r="L65">
        <f t="shared" si="11"/>
        <v>50</v>
      </c>
      <c r="M65">
        <f t="shared" si="12"/>
        <v>68.573451572739998</v>
      </c>
      <c r="N65">
        <f t="shared" si="13"/>
        <v>2.2058120318834225</v>
      </c>
      <c r="O65">
        <f t="shared" si="14"/>
        <v>2.2123722511168724</v>
      </c>
      <c r="P65">
        <f t="shared" si="15"/>
        <v>2.2123912513096289</v>
      </c>
      <c r="Q65">
        <f t="shared" si="16"/>
        <v>2.2186286567537441</v>
      </c>
      <c r="S65">
        <f t="shared" si="20"/>
        <v>50</v>
      </c>
      <c r="T65">
        <f t="shared" si="3"/>
        <v>66.092092456445371</v>
      </c>
      <c r="U65">
        <f t="shared" si="4"/>
        <v>68.49083083920614</v>
      </c>
      <c r="V65">
        <f t="shared" si="5"/>
        <v>68.573451572739998</v>
      </c>
      <c r="W65">
        <f t="shared" si="21"/>
        <v>2.4813591162946267</v>
      </c>
      <c r="X65">
        <f t="shared" si="22"/>
        <v>8.2620733533858015E-2</v>
      </c>
    </row>
    <row r="66" spans="2:24" x14ac:dyDescent="0.25">
      <c r="B66">
        <f t="shared" si="8"/>
        <v>51</v>
      </c>
      <c r="C66">
        <f t="shared" si="9"/>
        <v>68.281866531091481</v>
      </c>
      <c r="D66">
        <f t="shared" si="10"/>
        <v>2.2040199781137786</v>
      </c>
      <c r="F66">
        <f t="shared" si="6"/>
        <v>51</v>
      </c>
      <c r="G66">
        <f t="shared" si="7"/>
        <v>70.702551912474121</v>
      </c>
      <c r="H66">
        <f t="shared" si="0"/>
        <v>2.218170768970261</v>
      </c>
      <c r="I66">
        <f t="shared" si="1"/>
        <v>72.920722681444389</v>
      </c>
      <c r="J66">
        <f t="shared" si="2"/>
        <v>2.2297240830407987</v>
      </c>
      <c r="L66">
        <f t="shared" si="11"/>
        <v>51</v>
      </c>
      <c r="M66">
        <f t="shared" si="12"/>
        <v>70.78577952165503</v>
      </c>
      <c r="N66">
        <f t="shared" si="13"/>
        <v>2.2186283094739121</v>
      </c>
      <c r="O66">
        <f t="shared" si="14"/>
        <v>2.2245465927361119</v>
      </c>
      <c r="P66">
        <f t="shared" si="15"/>
        <v>2.2245619349661849</v>
      </c>
      <c r="Q66">
        <f t="shared" si="16"/>
        <v>2.2301632259003865</v>
      </c>
      <c r="S66">
        <f t="shared" si="20"/>
        <v>51</v>
      </c>
      <c r="T66">
        <f t="shared" si="3"/>
        <v>68.281866531091481</v>
      </c>
      <c r="U66">
        <f t="shared" si="4"/>
        <v>70.702551912474121</v>
      </c>
      <c r="V66">
        <f t="shared" si="5"/>
        <v>70.78577952165503</v>
      </c>
      <c r="W66">
        <f t="shared" si="21"/>
        <v>2.5039129905635491</v>
      </c>
      <c r="X66">
        <f t="shared" si="22"/>
        <v>8.3227609180909212E-2</v>
      </c>
    </row>
    <row r="67" spans="2:24" x14ac:dyDescent="0.25">
      <c r="B67">
        <f t="shared" si="8"/>
        <v>52</v>
      </c>
      <c r="C67">
        <f t="shared" si="9"/>
        <v>70.485886509205258</v>
      </c>
      <c r="D67">
        <f t="shared" si="10"/>
        <v>2.2169707387947484</v>
      </c>
      <c r="F67">
        <f t="shared" si="6"/>
        <v>52</v>
      </c>
      <c r="G67">
        <f t="shared" si="7"/>
        <v>72.926499338479644</v>
      </c>
      <c r="H67">
        <f t="shared" si="0"/>
        <v>2.2297524532500925</v>
      </c>
      <c r="I67">
        <f t="shared" si="1"/>
        <v>75.15625179172973</v>
      </c>
      <c r="J67">
        <f t="shared" si="2"/>
        <v>2.2400535457694959</v>
      </c>
      <c r="L67">
        <f t="shared" si="11"/>
        <v>52</v>
      </c>
      <c r="M67">
        <f t="shared" si="12"/>
        <v>73.010280953451513</v>
      </c>
      <c r="N67">
        <f t="shared" si="13"/>
        <v>2.2301629301419665</v>
      </c>
      <c r="O67">
        <f t="shared" si="14"/>
        <v>2.23545097891098</v>
      </c>
      <c r="P67">
        <f t="shared" si="15"/>
        <v>2.235463133102217</v>
      </c>
      <c r="Q67">
        <f t="shared" si="16"/>
        <v>2.2404402876141973</v>
      </c>
      <c r="S67">
        <f t="shared" si="20"/>
        <v>52</v>
      </c>
      <c r="T67">
        <f t="shared" si="3"/>
        <v>70.485886509205258</v>
      </c>
      <c r="U67">
        <f t="shared" si="4"/>
        <v>72.926499338479644</v>
      </c>
      <c r="V67">
        <f t="shared" si="5"/>
        <v>73.010280953451513</v>
      </c>
      <c r="W67">
        <f t="shared" si="21"/>
        <v>2.5243944442462549</v>
      </c>
      <c r="X67">
        <f t="shared" si="22"/>
        <v>8.3781614971869089E-2</v>
      </c>
    </row>
    <row r="68" spans="2:24" x14ac:dyDescent="0.25">
      <c r="B68">
        <f t="shared" si="8"/>
        <v>53</v>
      </c>
      <c r="C68">
        <f t="shared" si="9"/>
        <v>72.702857248000001</v>
      </c>
      <c r="D68">
        <f t="shared" si="10"/>
        <v>2.2286476677342786</v>
      </c>
      <c r="F68">
        <f t="shared" si="6"/>
        <v>53</v>
      </c>
      <c r="G68">
        <f t="shared" si="7"/>
        <v>75.161402337989443</v>
      </c>
      <c r="H68">
        <f t="shared" si="0"/>
        <v>2.2400758590893948</v>
      </c>
      <c r="I68">
        <f t="shared" si="1"/>
        <v>77.401478197078845</v>
      </c>
      <c r="J68">
        <f t="shared" si="2"/>
        <v>2.2491489803224054</v>
      </c>
      <c r="L68">
        <f t="shared" si="11"/>
        <v>53</v>
      </c>
      <c r="M68">
        <f t="shared" si="12"/>
        <v>75.245686193748611</v>
      </c>
      <c r="N68">
        <f t="shared" si="13"/>
        <v>2.2404400380872698</v>
      </c>
      <c r="O68">
        <f t="shared" si="14"/>
        <v>2.2451100907197366</v>
      </c>
      <c r="P68">
        <f t="shared" si="15"/>
        <v>2.2451194965711059</v>
      </c>
      <c r="Q68">
        <f t="shared" si="16"/>
        <v>2.249484998156746</v>
      </c>
      <c r="S68">
        <f t="shared" si="20"/>
        <v>53</v>
      </c>
      <c r="T68">
        <f t="shared" si="3"/>
        <v>72.702857248000001</v>
      </c>
      <c r="U68">
        <f t="shared" si="4"/>
        <v>75.161402337989443</v>
      </c>
      <c r="V68">
        <f t="shared" si="5"/>
        <v>75.245686193748611</v>
      </c>
      <c r="W68">
        <f t="shared" si="21"/>
        <v>2.5428289457486102</v>
      </c>
      <c r="X68">
        <f t="shared" si="22"/>
        <v>8.4283855759167636E-2</v>
      </c>
    </row>
    <row r="69" spans="2:24" x14ac:dyDescent="0.25">
      <c r="B69">
        <f t="shared" si="8"/>
        <v>54</v>
      </c>
      <c r="C69">
        <f t="shared" si="9"/>
        <v>74.93150491573428</v>
      </c>
      <c r="D69">
        <f t="shared" si="10"/>
        <v>2.2390733170076138</v>
      </c>
      <c r="F69">
        <f t="shared" si="6"/>
        <v>54</v>
      </c>
      <c r="G69">
        <f t="shared" si="7"/>
        <v>77.406014757695345</v>
      </c>
      <c r="H69">
        <f t="shared" si="0"/>
        <v>2.2491660923275014</v>
      </c>
      <c r="I69">
        <f t="shared" si="1"/>
        <v>79.655180850022845</v>
      </c>
      <c r="J69">
        <f t="shared" si="2"/>
        <v>2.2570364482040026</v>
      </c>
      <c r="L69">
        <f t="shared" si="11"/>
        <v>54</v>
      </c>
      <c r="M69">
        <f t="shared" si="12"/>
        <v>77.490750228886228</v>
      </c>
      <c r="N69">
        <f t="shared" si="13"/>
        <v>2.2494847901367838</v>
      </c>
      <c r="O69">
        <f t="shared" si="14"/>
        <v>2.2535495608542009</v>
      </c>
      <c r="P69">
        <f t="shared" si="15"/>
        <v>2.2535566290191524</v>
      </c>
      <c r="Q69">
        <f t="shared" si="16"/>
        <v>2.2573234072645616</v>
      </c>
      <c r="S69">
        <f t="shared" si="20"/>
        <v>54</v>
      </c>
      <c r="T69">
        <f t="shared" si="3"/>
        <v>74.93150491573428</v>
      </c>
      <c r="U69">
        <f t="shared" si="4"/>
        <v>77.406014757695345</v>
      </c>
      <c r="V69">
        <f t="shared" si="5"/>
        <v>77.490750228886228</v>
      </c>
      <c r="W69">
        <f t="shared" si="21"/>
        <v>2.5592453131519477</v>
      </c>
      <c r="X69">
        <f t="shared" si="22"/>
        <v>8.4735471190882095E-2</v>
      </c>
    </row>
    <row r="70" spans="2:24" x14ac:dyDescent="0.25">
      <c r="B70">
        <f t="shared" si="8"/>
        <v>55</v>
      </c>
      <c r="C70">
        <f t="shared" si="9"/>
        <v>77.170578232741889</v>
      </c>
      <c r="D70">
        <f t="shared" si="10"/>
        <v>2.2482713528325302</v>
      </c>
      <c r="F70">
        <f t="shared" si="6"/>
        <v>55</v>
      </c>
      <c r="G70">
        <f t="shared" si="7"/>
        <v>79.65911602796109</v>
      </c>
      <c r="H70">
        <f t="shared" si="0"/>
        <v>2.2570491579010934</v>
      </c>
      <c r="I70">
        <f t="shared" si="1"/>
        <v>81.916165185862184</v>
      </c>
      <c r="J70">
        <f t="shared" si="2"/>
        <v>2.2637427945717468</v>
      </c>
      <c r="L70">
        <f t="shared" si="11"/>
        <v>55</v>
      </c>
      <c r="M70">
        <f t="shared" si="12"/>
        <v>79.744253658410898</v>
      </c>
      <c r="N70">
        <f t="shared" si="13"/>
        <v>2.2573232365376481</v>
      </c>
      <c r="O70">
        <f t="shared" si="14"/>
        <v>2.2607958576191876</v>
      </c>
      <c r="P70">
        <f t="shared" si="15"/>
        <v>2.2608009708850672</v>
      </c>
      <c r="Q70">
        <f t="shared" si="16"/>
        <v>2.2639823453088299</v>
      </c>
      <c r="S70">
        <f t="shared" si="20"/>
        <v>55</v>
      </c>
      <c r="T70">
        <f t="shared" si="3"/>
        <v>77.170578232741889</v>
      </c>
      <c r="U70">
        <f t="shared" si="4"/>
        <v>79.65911602796109</v>
      </c>
      <c r="V70">
        <f t="shared" si="5"/>
        <v>79.744253658410898</v>
      </c>
      <c r="W70">
        <f t="shared" si="21"/>
        <v>2.5736754256690091</v>
      </c>
      <c r="X70">
        <f t="shared" si="22"/>
        <v>8.5137630449807489E-2</v>
      </c>
    </row>
    <row r="71" spans="2:24" x14ac:dyDescent="0.25">
      <c r="B71">
        <f t="shared" si="8"/>
        <v>56</v>
      </c>
      <c r="C71">
        <f t="shared" si="9"/>
        <v>79.418849585574421</v>
      </c>
      <c r="D71">
        <f t="shared" si="10"/>
        <v>2.2562664347272583</v>
      </c>
      <c r="F71">
        <f t="shared" si="6"/>
        <v>56</v>
      </c>
      <c r="G71">
        <f t="shared" si="7"/>
        <v>81.919512004197514</v>
      </c>
      <c r="H71">
        <f t="shared" si="0"/>
        <v>2.2637518466676143</v>
      </c>
      <c r="I71">
        <f t="shared" si="1"/>
        <v>84.183263850865131</v>
      </c>
      <c r="J71">
        <f t="shared" si="2"/>
        <v>2.2692955412880047</v>
      </c>
      <c r="L71">
        <f t="shared" si="11"/>
        <v>56</v>
      </c>
      <c r="M71">
        <f t="shared" si="12"/>
        <v>82.005003531553399</v>
      </c>
      <c r="N71">
        <f t="shared" si="13"/>
        <v>2.2639822081216368</v>
      </c>
      <c r="O71">
        <f t="shared" si="14"/>
        <v>2.2668761752266455</v>
      </c>
      <c r="P71">
        <f t="shared" si="15"/>
        <v>2.2668796896885666</v>
      </c>
      <c r="Q71">
        <f t="shared" si="16"/>
        <v>2.2694893166650782</v>
      </c>
      <c r="S71">
        <f t="shared" si="20"/>
        <v>56</v>
      </c>
      <c r="T71">
        <f t="shared" si="3"/>
        <v>79.418849585574421</v>
      </c>
      <c r="U71">
        <f t="shared" si="4"/>
        <v>81.919512004197514</v>
      </c>
      <c r="V71">
        <f t="shared" si="5"/>
        <v>82.005003531553399</v>
      </c>
      <c r="W71">
        <f t="shared" si="21"/>
        <v>2.5861539459789782</v>
      </c>
      <c r="X71">
        <f t="shared" si="22"/>
        <v>8.54915273558845E-2</v>
      </c>
    </row>
    <row r="72" spans="2:24" x14ac:dyDescent="0.25">
      <c r="B72">
        <f t="shared" si="8"/>
        <v>57</v>
      </c>
      <c r="C72">
        <f t="shared" si="9"/>
        <v>81.675116020301672</v>
      </c>
      <c r="D72">
        <f t="shared" si="10"/>
        <v>2.2630841006326907</v>
      </c>
      <c r="F72">
        <f t="shared" si="6"/>
        <v>57</v>
      </c>
      <c r="G72">
        <f t="shared" si="7"/>
        <v>84.186035698175317</v>
      </c>
      <c r="H72">
        <f t="shared" si="0"/>
        <v>2.2693016284513106</v>
      </c>
      <c r="I72">
        <f t="shared" si="1"/>
        <v>86.455337326626633</v>
      </c>
      <c r="J72">
        <f t="shared" si="2"/>
        <v>2.2737227860325508</v>
      </c>
      <c r="L72">
        <f t="shared" si="11"/>
        <v>57</v>
      </c>
      <c r="M72">
        <f t="shared" si="12"/>
        <v>84.271834073989595</v>
      </c>
      <c r="N72">
        <f t="shared" si="13"/>
        <v>2.2694892096792478</v>
      </c>
      <c r="O72">
        <f t="shared" si="14"/>
        <v>2.2718183302168398</v>
      </c>
      <c r="P72">
        <f t="shared" si="15"/>
        <v>2.2718205764411241</v>
      </c>
      <c r="Q72">
        <f t="shared" si="16"/>
        <v>2.2738723991206653</v>
      </c>
      <c r="S72">
        <f t="shared" si="20"/>
        <v>57</v>
      </c>
      <c r="T72">
        <f t="shared" si="3"/>
        <v>81.675116020301672</v>
      </c>
      <c r="U72">
        <f t="shared" si="4"/>
        <v>84.186035698175317</v>
      </c>
      <c r="V72">
        <f t="shared" si="5"/>
        <v>84.271834073989595</v>
      </c>
      <c r="W72">
        <f t="shared" si="21"/>
        <v>2.5967180536879226</v>
      </c>
      <c r="X72">
        <f t="shared" si="22"/>
        <v>8.5798375814277961E-2</v>
      </c>
    </row>
    <row r="73" spans="2:24" x14ac:dyDescent="0.25">
      <c r="B73">
        <f t="shared" si="8"/>
        <v>58</v>
      </c>
      <c r="C73">
        <f t="shared" si="9"/>
        <v>83.938200120934368</v>
      </c>
      <c r="D73">
        <f t="shared" si="10"/>
        <v>2.2687506578988867</v>
      </c>
      <c r="F73">
        <f t="shared" si="6"/>
        <v>58</v>
      </c>
      <c r="G73">
        <f t="shared" si="7"/>
        <v>86.457547905417243</v>
      </c>
      <c r="H73">
        <f t="shared" si="0"/>
        <v>2.273726551139823</v>
      </c>
      <c r="I73">
        <f t="shared" si="1"/>
        <v>88.73127445655706</v>
      </c>
      <c r="J73">
        <f t="shared" si="2"/>
        <v>2.2770531072939111</v>
      </c>
      <c r="L73">
        <f t="shared" si="11"/>
        <v>58</v>
      </c>
      <c r="M73">
        <f t="shared" si="12"/>
        <v>86.543607311008898</v>
      </c>
      <c r="N73">
        <f t="shared" si="13"/>
        <v>2.2738723193712067</v>
      </c>
      <c r="O73">
        <f t="shared" si="14"/>
        <v>2.275650663829631</v>
      </c>
      <c r="P73">
        <f t="shared" si="15"/>
        <v>2.2756519480026367</v>
      </c>
      <c r="Q73">
        <f t="shared" si="16"/>
        <v>2.2771601491395583</v>
      </c>
      <c r="S73">
        <f t="shared" si="20"/>
        <v>58</v>
      </c>
      <c r="T73">
        <f t="shared" si="3"/>
        <v>83.938200120934368</v>
      </c>
      <c r="U73">
        <f t="shared" si="4"/>
        <v>86.457547905417243</v>
      </c>
      <c r="V73">
        <f t="shared" si="5"/>
        <v>86.543607311008898</v>
      </c>
      <c r="W73">
        <f t="shared" si="21"/>
        <v>2.6054071900745299</v>
      </c>
      <c r="X73">
        <f t="shared" si="22"/>
        <v>8.6059405591655036E-2</v>
      </c>
    </row>
    <row r="74" spans="2:24" x14ac:dyDescent="0.25">
      <c r="B74">
        <f t="shared" si="8"/>
        <v>59</v>
      </c>
      <c r="C74">
        <f t="shared" si="9"/>
        <v>86.20695077883326</v>
      </c>
      <c r="D74">
        <f t="shared" si="10"/>
        <v>2.2732930800199447</v>
      </c>
      <c r="F74">
        <f t="shared" si="6"/>
        <v>59</v>
      </c>
      <c r="G74">
        <f t="shared" si="7"/>
        <v>88.732937734634106</v>
      </c>
      <c r="H74">
        <f t="shared" si="0"/>
        <v>2.2770551456509223</v>
      </c>
      <c r="I74">
        <f t="shared" si="1"/>
        <v>91.009992880285026</v>
      </c>
      <c r="J74">
        <f t="shared" si="2"/>
        <v>2.2793154750515039</v>
      </c>
      <c r="L74">
        <f t="shared" si="11"/>
        <v>59</v>
      </c>
      <c r="M74">
        <f t="shared" si="12"/>
        <v>88.819213593038114</v>
      </c>
      <c r="N74">
        <f t="shared" si="13"/>
        <v>2.2771600939969687</v>
      </c>
      <c r="O74">
        <f t="shared" si="14"/>
        <v>2.2784019501418151</v>
      </c>
      <c r="P74">
        <f t="shared" si="15"/>
        <v>2.2784025552004814</v>
      </c>
      <c r="Q74">
        <f t="shared" si="16"/>
        <v>2.2793815127976735</v>
      </c>
      <c r="S74">
        <f t="shared" si="20"/>
        <v>59</v>
      </c>
      <c r="T74">
        <f t="shared" si="3"/>
        <v>86.20695077883326</v>
      </c>
      <c r="U74">
        <f t="shared" si="4"/>
        <v>88.732937734634106</v>
      </c>
      <c r="V74">
        <f t="shared" si="5"/>
        <v>88.819213593038114</v>
      </c>
      <c r="W74">
        <f t="shared" si="21"/>
        <v>2.6122628142048541</v>
      </c>
      <c r="X74">
        <f t="shared" si="22"/>
        <v>8.6275858404007977E-2</v>
      </c>
    </row>
    <row r="75" spans="2:24" x14ac:dyDescent="0.25">
      <c r="B75">
        <f t="shared" si="8"/>
        <v>60</v>
      </c>
      <c r="C75">
        <f t="shared" si="9"/>
        <v>88.4802438588532</v>
      </c>
      <c r="D75">
        <f t="shared" si="10"/>
        <v>2.2767389089876646</v>
      </c>
      <c r="F75">
        <f t="shared" si="6"/>
        <v>60</v>
      </c>
      <c r="G75">
        <f t="shared" si="7"/>
        <v>91.011123044985325</v>
      </c>
      <c r="H75">
        <f t="shared" si="0"/>
        <v>2.2793163365825726</v>
      </c>
      <c r="I75">
        <f t="shared" si="1"/>
        <v>93.290439381567893</v>
      </c>
      <c r="J75">
        <f t="shared" si="2"/>
        <v>2.280539166955962</v>
      </c>
      <c r="L75">
        <f t="shared" si="11"/>
        <v>60</v>
      </c>
      <c r="M75">
        <f t="shared" si="12"/>
        <v>91.097572029284649</v>
      </c>
      <c r="N75">
        <f t="shared" si="13"/>
        <v>2.2793814799334724</v>
      </c>
      <c r="O75">
        <f t="shared" si="14"/>
        <v>2.2801013097809135</v>
      </c>
      <c r="P75">
        <f t="shared" si="15"/>
        <v>2.2801014965220059</v>
      </c>
      <c r="Q75">
        <f t="shared" si="16"/>
        <v>2.2805657421973105</v>
      </c>
      <c r="S75">
        <f t="shared" si="20"/>
        <v>60</v>
      </c>
      <c r="T75">
        <f t="shared" si="3"/>
        <v>88.4802438588532</v>
      </c>
      <c r="U75">
        <f t="shared" si="4"/>
        <v>91.011123044985325</v>
      </c>
      <c r="V75">
        <f t="shared" si="5"/>
        <v>91.097572029284649</v>
      </c>
      <c r="W75">
        <f t="shared" si="21"/>
        <v>2.6173281704314491</v>
      </c>
      <c r="X75">
        <f t="shared" si="22"/>
        <v>8.6448984299323683E-2</v>
      </c>
    </row>
    <row r="76" spans="2:24" x14ac:dyDescent="0.25">
      <c r="B76">
        <f t="shared" si="8"/>
        <v>61</v>
      </c>
      <c r="C76">
        <f t="shared" si="9"/>
        <v>90.756982767840867</v>
      </c>
      <c r="D76">
        <f t="shared" si="10"/>
        <v>2.2791161631232106</v>
      </c>
      <c r="F76">
        <f t="shared" si="6"/>
        <v>61</v>
      </c>
      <c r="G76">
        <f t="shared" si="7"/>
        <v>93.29105079675459</v>
      </c>
      <c r="H76">
        <f t="shared" si="0"/>
        <v>2.2805393583547393</v>
      </c>
      <c r="I76">
        <f t="shared" si="1"/>
        <v>95.571590155109334</v>
      </c>
      <c r="J76">
        <f t="shared" si="2"/>
        <v>2.2807536898118279</v>
      </c>
      <c r="L76">
        <f t="shared" si="11"/>
        <v>61</v>
      </c>
      <c r="M76">
        <f t="shared" si="12"/>
        <v>93.377630835074086</v>
      </c>
      <c r="N76">
        <f t="shared" si="13"/>
        <v>2.2805657295526922</v>
      </c>
      <c r="O76">
        <f t="shared" si="14"/>
        <v>2.2807781290220452</v>
      </c>
      <c r="P76">
        <f t="shared" si="15"/>
        <v>2.2807781371874545</v>
      </c>
      <c r="Q76">
        <f t="shared" si="16"/>
        <v>2.2807423171660428</v>
      </c>
      <c r="S76">
        <f t="shared" si="20"/>
        <v>61</v>
      </c>
      <c r="T76">
        <f t="shared" si="3"/>
        <v>90.756982767840867</v>
      </c>
      <c r="U76">
        <f t="shared" si="4"/>
        <v>93.29105079675459</v>
      </c>
      <c r="V76">
        <f t="shared" si="5"/>
        <v>93.377630835074086</v>
      </c>
      <c r="W76">
        <f t="shared" si="21"/>
        <v>2.6206480672332191</v>
      </c>
      <c r="X76">
        <f t="shared" si="22"/>
        <v>8.6580038319496566E-2</v>
      </c>
    </row>
    <row r="77" spans="2:24" x14ac:dyDescent="0.25">
      <c r="B77">
        <f t="shared" si="8"/>
        <v>62</v>
      </c>
      <c r="C77">
        <f t="shared" si="9"/>
        <v>93.036098930964073</v>
      </c>
      <c r="D77">
        <f t="shared" si="10"/>
        <v>2.2804532502365502</v>
      </c>
      <c r="F77">
        <f t="shared" si="6"/>
        <v>62</v>
      </c>
      <c r="G77">
        <f t="shared" si="7"/>
        <v>95.57169732083787</v>
      </c>
      <c r="H77">
        <f t="shared" si="0"/>
        <v>2.28075367664816</v>
      </c>
      <c r="I77">
        <f t="shared" si="1"/>
        <v>97.852450997486031</v>
      </c>
      <c r="J77">
        <f t="shared" si="2"/>
        <v>2.2799887061649864</v>
      </c>
      <c r="L77">
        <f t="shared" si="11"/>
        <v>62</v>
      </c>
      <c r="M77">
        <f t="shared" si="12"/>
        <v>95.658367598263709</v>
      </c>
      <c r="N77">
        <f t="shared" si="13"/>
        <v>2.2807423229234072</v>
      </c>
      <c r="O77">
        <f t="shared" si="14"/>
        <v>2.2804619840718958</v>
      </c>
      <c r="P77">
        <f t="shared" si="15"/>
        <v>2.280462033407852</v>
      </c>
      <c r="Q77">
        <f t="shared" si="16"/>
        <v>2.2799408720435257</v>
      </c>
      <c r="S77">
        <f t="shared" si="20"/>
        <v>62</v>
      </c>
      <c r="T77">
        <f t="shared" si="3"/>
        <v>93.036098930964073</v>
      </c>
      <c r="U77">
        <f t="shared" si="4"/>
        <v>95.57169732083787</v>
      </c>
      <c r="V77">
        <f t="shared" si="5"/>
        <v>95.658367598263709</v>
      </c>
      <c r="W77">
        <f t="shared" si="21"/>
        <v>2.622268667299636</v>
      </c>
      <c r="X77">
        <f t="shared" si="22"/>
        <v>8.6670277425838549E-2</v>
      </c>
    </row>
    <row r="78" spans="2:24" x14ac:dyDescent="0.25">
      <c r="B78">
        <f t="shared" si="8"/>
        <v>63</v>
      </c>
      <c r="C78">
        <f t="shared" si="9"/>
        <v>95.31655218120062</v>
      </c>
      <c r="D78">
        <f t="shared" si="10"/>
        <v>2.2807788859561153</v>
      </c>
      <c r="F78">
        <f t="shared" si="6"/>
        <v>63</v>
      </c>
      <c r="G78">
        <f t="shared" si="7"/>
        <v>97.852068512244443</v>
      </c>
      <c r="H78">
        <f t="shared" si="0"/>
        <v>2.2799889149433272</v>
      </c>
      <c r="I78">
        <f t="shared" si="1"/>
        <v>100.13205742718777</v>
      </c>
      <c r="J78">
        <f t="shared" si="2"/>
        <v>2.2782739657965303</v>
      </c>
      <c r="L78">
        <f t="shared" si="11"/>
        <v>63</v>
      </c>
      <c r="M78">
        <f t="shared" si="12"/>
        <v>97.93878946991812</v>
      </c>
      <c r="N78">
        <f t="shared" si="13"/>
        <v>2.2799408946006534</v>
      </c>
      <c r="O78">
        <f t="shared" si="14"/>
        <v>2.279182570342615</v>
      </c>
      <c r="P78">
        <f t="shared" si="15"/>
        <v>2.279182861631047</v>
      </c>
      <c r="Q78">
        <f t="shared" si="16"/>
        <v>2.2781911273589772</v>
      </c>
      <c r="S78">
        <f t="shared" si="20"/>
        <v>63</v>
      </c>
      <c r="T78">
        <f t="shared" si="3"/>
        <v>95.31655218120062</v>
      </c>
      <c r="U78">
        <f t="shared" si="4"/>
        <v>97.852068512244443</v>
      </c>
      <c r="V78">
        <f t="shared" si="5"/>
        <v>97.93878946991812</v>
      </c>
      <c r="W78">
        <f t="shared" si="21"/>
        <v>2.6222372887174998</v>
      </c>
      <c r="X78">
        <f t="shared" si="22"/>
        <v>8.6720957673676935E-2</v>
      </c>
    </row>
    <row r="79" spans="2:24" x14ac:dyDescent="0.25">
      <c r="B79">
        <f t="shared" si="8"/>
        <v>64</v>
      </c>
      <c r="C79">
        <f t="shared" si="9"/>
        <v>97.59733106715673</v>
      </c>
      <c r="D79">
        <f t="shared" si="10"/>
        <v>2.280122017065191</v>
      </c>
      <c r="F79">
        <f t="shared" si="6"/>
        <v>64</v>
      </c>
      <c r="G79">
        <f t="shared" si="7"/>
        <v>100.13119995261437</v>
      </c>
      <c r="H79">
        <f t="shared" ref="H79:H142" si="23">0.3*(G79^(3/4))*(1-(G79/300)^(1/4))</f>
        <v>2.2782747859621191</v>
      </c>
      <c r="I79">
        <f t="shared" ref="I79:I142" si="24">G79+$C$10*H79</f>
        <v>102.40947473857649</v>
      </c>
      <c r="J79">
        <f t="shared" ref="J79:J142" si="25">0.3*(I79^(3/4))*(1-(I79/300)^(1/4))</f>
        <v>2.2756392419250298</v>
      </c>
      <c r="L79">
        <f t="shared" si="11"/>
        <v>64</v>
      </c>
      <c r="M79">
        <f t="shared" si="12"/>
        <v>100.21793328423594</v>
      </c>
      <c r="N79">
        <f t="shared" si="13"/>
        <v>2.2781911653056</v>
      </c>
      <c r="O79">
        <f t="shared" si="14"/>
        <v>2.2769696365182126</v>
      </c>
      <c r="P79">
        <f t="shared" si="15"/>
        <v>2.2769703525788221</v>
      </c>
      <c r="Q79">
        <f t="shared" si="16"/>
        <v>2.2755228262022826</v>
      </c>
      <c r="S79">
        <f t="shared" si="20"/>
        <v>64</v>
      </c>
      <c r="T79">
        <f t="shared" ref="T79:T142" si="26">C79</f>
        <v>97.59733106715673</v>
      </c>
      <c r="U79">
        <f t="shared" ref="U79:U142" si="27">G79</f>
        <v>100.13119995261437</v>
      </c>
      <c r="V79">
        <f t="shared" ref="V79:V142" si="28">M79</f>
        <v>100.21793328423594</v>
      </c>
      <c r="W79">
        <f t="shared" si="21"/>
        <v>2.6206022170792096</v>
      </c>
      <c r="X79">
        <f t="shared" si="22"/>
        <v>8.6733331621573484E-2</v>
      </c>
    </row>
    <row r="80" spans="2:24" x14ac:dyDescent="0.25">
      <c r="B80">
        <f t="shared" si="8"/>
        <v>65</v>
      </c>
      <c r="C80">
        <f t="shared" si="9"/>
        <v>99.877453084221926</v>
      </c>
      <c r="D80">
        <f t="shared" si="10"/>
        <v>2.2785117496771341</v>
      </c>
      <c r="F80">
        <f t="shared" ref="F80:F143" si="29">F79+$C$10</f>
        <v>65</v>
      </c>
      <c r="G80">
        <f t="shared" ref="G80:G143" si="30">G79+$C$10/2*(H79+J79)</f>
        <v>102.40815696655794</v>
      </c>
      <c r="H80">
        <f t="shared" si="23"/>
        <v>2.2756410278148196</v>
      </c>
      <c r="I80">
        <f t="shared" si="24"/>
        <v>104.68379799437275</v>
      </c>
      <c r="J80">
        <f t="shared" si="25"/>
        <v>2.2721142719204193</v>
      </c>
      <c r="L80">
        <f t="shared" si="11"/>
        <v>65</v>
      </c>
      <c r="M80">
        <f t="shared" si="12"/>
        <v>102.4948656125196</v>
      </c>
      <c r="N80">
        <f t="shared" si="13"/>
        <v>2.2755228782988914</v>
      </c>
      <c r="O80">
        <f t="shared" si="14"/>
        <v>2.273852923216793</v>
      </c>
      <c r="P80">
        <f t="shared" si="15"/>
        <v>2.2738542298787281</v>
      </c>
      <c r="Q80">
        <f t="shared" si="16"/>
        <v>2.2719656750929036</v>
      </c>
      <c r="S80">
        <f t="shared" si="20"/>
        <v>65</v>
      </c>
      <c r="T80">
        <f t="shared" si="26"/>
        <v>99.877453084221926</v>
      </c>
      <c r="U80">
        <f t="shared" si="27"/>
        <v>102.40815696655794</v>
      </c>
      <c r="V80">
        <f t="shared" si="28"/>
        <v>102.4948656125196</v>
      </c>
      <c r="W80">
        <f t="shared" si="21"/>
        <v>2.6174125282976775</v>
      </c>
      <c r="X80">
        <f t="shared" si="22"/>
        <v>8.6708645961664388E-2</v>
      </c>
    </row>
    <row r="81" spans="2:24" x14ac:dyDescent="0.25">
      <c r="B81">
        <f t="shared" ref="B81:B144" si="31">B80+$C$10</f>
        <v>66</v>
      </c>
      <c r="C81">
        <f t="shared" ref="C81:C144" si="32">C80+$C$10*D80</f>
        <v>102.15596483389906</v>
      </c>
      <c r="D81">
        <f t="shared" ref="D81:D144" si="33">0.3*(C81^(3/4))*(1-(C81/300)^(1/4))</f>
        <v>2.2759772820785296</v>
      </c>
      <c r="F81">
        <f t="shared" si="29"/>
        <v>66</v>
      </c>
      <c r="G81">
        <f t="shared" si="30"/>
        <v>104.68203461642555</v>
      </c>
      <c r="H81">
        <f t="shared" si="23"/>
        <v>2.2721173446563245</v>
      </c>
      <c r="I81">
        <f t="shared" si="24"/>
        <v>106.95415196108188</v>
      </c>
      <c r="J81">
        <f t="shared" si="25"/>
        <v>2.2677287023346344</v>
      </c>
      <c r="L81">
        <f t="shared" ref="L81:L144" si="34">L80+$C$10</f>
        <v>66</v>
      </c>
      <c r="M81">
        <f t="shared" ref="M81:M144" si="35">M80 + (1/6)*(N80+2*O80+2*P80+Q80)</f>
        <v>104.76868275578342</v>
      </c>
      <c r="N81">
        <f t="shared" ref="N81:N144" si="36">$C$10*0.3*(M81^(3/4))*(1-(M81/300)^(1/4))</f>
        <v>2.271965740251555</v>
      </c>
      <c r="O81">
        <f t="shared" ref="O81:O144" si="37">$C$10*0.3*((M81+N81/2)^(3/4))*(1-((M81+N81/2)/300)^(1/4))</f>
        <v>2.2698621060535018</v>
      </c>
      <c r="P81">
        <f t="shared" ref="P81:P144" si="38">$C$10*0.3*((M81+O81/2)^(3/4))*(1-((M81+O81/2)/300)^(1/4))</f>
        <v>2.2698641530958086</v>
      </c>
      <c r="Q81">
        <f t="shared" ref="Q81:Q144" si="39">$C$10*0.3*((M81+P81)^(3/4))*(1-((M81+P81)/300)^(1/4))</f>
        <v>2.2675492891526168</v>
      </c>
      <c r="S81">
        <f t="shared" si="20"/>
        <v>66</v>
      </c>
      <c r="T81">
        <f t="shared" si="26"/>
        <v>102.15596483389906</v>
      </c>
      <c r="U81">
        <f t="shared" si="27"/>
        <v>104.68203461642555</v>
      </c>
      <c r="V81">
        <f t="shared" si="28"/>
        <v>104.76868275578342</v>
      </c>
      <c r="W81">
        <f t="shared" si="21"/>
        <v>2.6127179218843537</v>
      </c>
      <c r="X81">
        <f t="shared" si="22"/>
        <v>8.6648139357862419E-2</v>
      </c>
    </row>
    <row r="82" spans="2:24" x14ac:dyDescent="0.25">
      <c r="B82">
        <f t="shared" si="31"/>
        <v>67</v>
      </c>
      <c r="C82">
        <f t="shared" si="32"/>
        <v>104.43194211597759</v>
      </c>
      <c r="D82">
        <f t="shared" si="33"/>
        <v>2.2725478420673251</v>
      </c>
      <c r="F82">
        <f t="shared" si="29"/>
        <v>67</v>
      </c>
      <c r="G82">
        <f t="shared" si="30"/>
        <v>106.95195763992103</v>
      </c>
      <c r="H82">
        <f t="shared" si="23"/>
        <v>2.2677333516572529</v>
      </c>
      <c r="I82">
        <f t="shared" si="24"/>
        <v>109.21969099157829</v>
      </c>
      <c r="J82">
        <f t="shared" si="25"/>
        <v>2.2625120380567574</v>
      </c>
      <c r="L82">
        <f t="shared" si="34"/>
        <v>67</v>
      </c>
      <c r="M82">
        <f t="shared" si="35"/>
        <v>107.03851068040055</v>
      </c>
      <c r="N82">
        <f t="shared" si="36"/>
        <v>2.2675493664196074</v>
      </c>
      <c r="O82">
        <f t="shared" si="37"/>
        <v>2.2650267429113651</v>
      </c>
      <c r="P82">
        <f t="shared" si="38"/>
        <v>2.2650296649715989</v>
      </c>
      <c r="Q82">
        <f t="shared" si="39"/>
        <v>2.262303141390702</v>
      </c>
      <c r="S82">
        <f t="shared" si="20"/>
        <v>67</v>
      </c>
      <c r="T82">
        <f t="shared" si="26"/>
        <v>104.43194211597759</v>
      </c>
      <c r="U82">
        <f t="shared" si="27"/>
        <v>106.95195763992103</v>
      </c>
      <c r="V82">
        <f t="shared" si="28"/>
        <v>107.03851068040055</v>
      </c>
      <c r="W82">
        <f t="shared" si="21"/>
        <v>2.6065685644229575</v>
      </c>
      <c r="X82">
        <f t="shared" si="22"/>
        <v>8.6553040479515175E-2</v>
      </c>
    </row>
    <row r="83" spans="2:24" x14ac:dyDescent="0.25">
      <c r="B83">
        <f t="shared" si="31"/>
        <v>68</v>
      </c>
      <c r="C83">
        <f t="shared" si="32"/>
        <v>106.70448995804492</v>
      </c>
      <c r="D83">
        <f t="shared" si="33"/>
        <v>2.2682526286121623</v>
      </c>
      <c r="F83">
        <f t="shared" si="29"/>
        <v>68</v>
      </c>
      <c r="G83">
        <f t="shared" si="30"/>
        <v>109.21708033477803</v>
      </c>
      <c r="H83">
        <f t="shared" si="23"/>
        <v>2.2625185240982293</v>
      </c>
      <c r="I83">
        <f t="shared" si="24"/>
        <v>111.47959885887626</v>
      </c>
      <c r="J83">
        <f t="shared" si="25"/>
        <v>2.2564935954036422</v>
      </c>
      <c r="L83">
        <f t="shared" si="34"/>
        <v>68</v>
      </c>
      <c r="M83">
        <f t="shared" si="35"/>
        <v>109.30350490099659</v>
      </c>
      <c r="N83">
        <f t="shared" si="36"/>
        <v>2.2623032299309318</v>
      </c>
      <c r="O83">
        <f t="shared" si="37"/>
        <v>2.2593762252300129</v>
      </c>
      <c r="P83">
        <f t="shared" si="38"/>
        <v>2.2593801426806803</v>
      </c>
      <c r="Q83">
        <f t="shared" si="39"/>
        <v>2.2562565159133663</v>
      </c>
      <c r="S83">
        <f t="shared" si="20"/>
        <v>68</v>
      </c>
      <c r="T83">
        <f t="shared" si="26"/>
        <v>106.70448995804492</v>
      </c>
      <c r="U83">
        <f t="shared" si="27"/>
        <v>109.21708033477803</v>
      </c>
      <c r="V83">
        <f t="shared" si="28"/>
        <v>109.30350490099659</v>
      </c>
      <c r="W83">
        <f t="shared" si="21"/>
        <v>2.5990149429516691</v>
      </c>
      <c r="X83">
        <f t="shared" si="22"/>
        <v>8.6424566218553878E-2</v>
      </c>
    </row>
    <row r="84" spans="2:24" x14ac:dyDescent="0.25">
      <c r="B84">
        <f t="shared" si="31"/>
        <v>69</v>
      </c>
      <c r="C84">
        <f t="shared" si="32"/>
        <v>108.97274258665708</v>
      </c>
      <c r="D84">
        <f t="shared" si="33"/>
        <v>2.2631207576590788</v>
      </c>
      <c r="F84">
        <f t="shared" si="29"/>
        <v>69</v>
      </c>
      <c r="G84">
        <f t="shared" si="30"/>
        <v>111.47658639452897</v>
      </c>
      <c r="H84">
        <f t="shared" si="23"/>
        <v>2.2565021503987324</v>
      </c>
      <c r="I84">
        <f t="shared" si="24"/>
        <v>113.7330885449277</v>
      </c>
      <c r="J84">
        <f t="shared" si="25"/>
        <v>2.2497024589606283</v>
      </c>
      <c r="L84">
        <f t="shared" si="34"/>
        <v>69</v>
      </c>
      <c r="M84">
        <f t="shared" si="35"/>
        <v>111.56285031460753</v>
      </c>
      <c r="N84">
        <f t="shared" si="36"/>
        <v>2.2562566149962433</v>
      </c>
      <c r="O84">
        <f t="shared" si="37"/>
        <v>2.2529397331257619</v>
      </c>
      <c r="P84">
        <f t="shared" si="38"/>
        <v>2.2529447529183719</v>
      </c>
      <c r="Q84">
        <f t="shared" si="39"/>
        <v>2.2494384648727408</v>
      </c>
      <c r="S84">
        <f t="shared" si="20"/>
        <v>69</v>
      </c>
      <c r="T84">
        <f t="shared" si="26"/>
        <v>108.97274258665708</v>
      </c>
      <c r="U84">
        <f t="shared" si="27"/>
        <v>111.47658639452897</v>
      </c>
      <c r="V84">
        <f t="shared" si="28"/>
        <v>111.56285031460753</v>
      </c>
      <c r="W84">
        <f t="shared" si="21"/>
        <v>2.5901077279504534</v>
      </c>
      <c r="X84">
        <f t="shared" si="22"/>
        <v>8.6263920078565093E-2</v>
      </c>
    </row>
    <row r="85" spans="2:24" x14ac:dyDescent="0.25">
      <c r="B85">
        <f t="shared" si="31"/>
        <v>70</v>
      </c>
      <c r="C85">
        <f t="shared" si="32"/>
        <v>111.23586334431616</v>
      </c>
      <c r="D85">
        <f t="shared" si="33"/>
        <v>2.2571812119125316</v>
      </c>
      <c r="F85">
        <f t="shared" si="29"/>
        <v>70</v>
      </c>
      <c r="G85">
        <f t="shared" si="30"/>
        <v>113.72968869920865</v>
      </c>
      <c r="H85">
        <f t="shared" si="23"/>
        <v>2.2497132888955274</v>
      </c>
      <c r="I85">
        <f t="shared" si="24"/>
        <v>115.97940198810417</v>
      </c>
      <c r="J85">
        <f t="shared" si="25"/>
        <v>2.2421674419909965</v>
      </c>
      <c r="L85">
        <f t="shared" si="34"/>
        <v>70</v>
      </c>
      <c r="M85">
        <f t="shared" si="35"/>
        <v>113.81576098993374</v>
      </c>
      <c r="N85">
        <f t="shared" si="36"/>
        <v>2.2494385738595066</v>
      </c>
      <c r="O85">
        <f t="shared" si="37"/>
        <v>2.2457461941603012</v>
      </c>
      <c r="P85">
        <f t="shared" si="38"/>
        <v>2.2457524106370417</v>
      </c>
      <c r="Q85">
        <f t="shared" si="39"/>
        <v>2.2418777689748994</v>
      </c>
      <c r="S85">
        <f t="shared" si="20"/>
        <v>70</v>
      </c>
      <c r="T85">
        <f t="shared" si="26"/>
        <v>111.23586334431616</v>
      </c>
      <c r="U85">
        <f t="shared" si="27"/>
        <v>113.72968869920865</v>
      </c>
      <c r="V85">
        <f t="shared" si="28"/>
        <v>113.81576098993374</v>
      </c>
      <c r="W85">
        <f t="shared" si="21"/>
        <v>2.579897645617578</v>
      </c>
      <c r="X85">
        <f t="shared" si="22"/>
        <v>8.6072290725084599E-2</v>
      </c>
    </row>
    <row r="86" spans="2:24" x14ac:dyDescent="0.25">
      <c r="B86">
        <f t="shared" si="31"/>
        <v>71</v>
      </c>
      <c r="C86">
        <f t="shared" si="32"/>
        <v>113.4930445562287</v>
      </c>
      <c r="D86">
        <f t="shared" si="33"/>
        <v>2.2504627944191609</v>
      </c>
      <c r="F86">
        <f t="shared" si="29"/>
        <v>71</v>
      </c>
      <c r="G86">
        <f t="shared" si="30"/>
        <v>115.97562906465191</v>
      </c>
      <c r="H86">
        <f t="shared" si="23"/>
        <v>2.2421807281896826</v>
      </c>
      <c r="I86">
        <f t="shared" si="24"/>
        <v>118.21780979284159</v>
      </c>
      <c r="J86">
        <f t="shared" si="25"/>
        <v>2.2339170502373009</v>
      </c>
      <c r="L86">
        <f t="shared" si="34"/>
        <v>71</v>
      </c>
      <c r="M86">
        <f t="shared" si="35"/>
        <v>116.06147991533858</v>
      </c>
      <c r="N86">
        <f t="shared" si="36"/>
        <v>2.2418778873072283</v>
      </c>
      <c r="O86">
        <f t="shared" si="37"/>
        <v>2.2378242455794881</v>
      </c>
      <c r="P86">
        <f t="shared" si="38"/>
        <v>2.2378317412526445</v>
      </c>
      <c r="Q86">
        <f t="shared" si="39"/>
        <v>2.2336029013706247</v>
      </c>
      <c r="S86">
        <f t="shared" si="20"/>
        <v>71</v>
      </c>
      <c r="T86">
        <f t="shared" si="26"/>
        <v>113.4930445562287</v>
      </c>
      <c r="U86">
        <f t="shared" si="27"/>
        <v>115.97562906465191</v>
      </c>
      <c r="V86">
        <f t="shared" si="28"/>
        <v>116.06147991533858</v>
      </c>
      <c r="W86">
        <f t="shared" si="21"/>
        <v>2.5684353591098841</v>
      </c>
      <c r="X86">
        <f t="shared" si="22"/>
        <v>8.5850850686668423E-2</v>
      </c>
    </row>
    <row r="87" spans="2:24" x14ac:dyDescent="0.25">
      <c r="B87">
        <f t="shared" si="31"/>
        <v>72</v>
      </c>
      <c r="C87">
        <f t="shared" si="32"/>
        <v>115.74350735064786</v>
      </c>
      <c r="D87">
        <f t="shared" si="33"/>
        <v>2.2429940857848036</v>
      </c>
      <c r="F87">
        <f t="shared" si="29"/>
        <v>72</v>
      </c>
      <c r="G87">
        <f t="shared" si="30"/>
        <v>118.2136779538654</v>
      </c>
      <c r="H87">
        <f t="shared" si="23"/>
        <v>2.2339329508855879</v>
      </c>
      <c r="I87">
        <f t="shared" si="24"/>
        <v>120.44761090475099</v>
      </c>
      <c r="J87">
        <f t="shared" si="25"/>
        <v>2.2249794489422867</v>
      </c>
      <c r="L87">
        <f t="shared" si="34"/>
        <v>72</v>
      </c>
      <c r="M87">
        <f t="shared" si="35"/>
        <v>118.29927870906226</v>
      </c>
      <c r="N87">
        <f t="shared" si="36"/>
        <v>2.2336030285603994</v>
      </c>
      <c r="O87">
        <f t="shared" si="37"/>
        <v>2.2292021998482356</v>
      </c>
      <c r="P87">
        <f t="shared" si="38"/>
        <v>2.2292110461476482</v>
      </c>
      <c r="Q87">
        <f t="shared" si="39"/>
        <v>2.2246419947573464</v>
      </c>
      <c r="S87">
        <f t="shared" si="20"/>
        <v>72</v>
      </c>
      <c r="T87">
        <f t="shared" si="26"/>
        <v>115.74350735064786</v>
      </c>
      <c r="U87">
        <f t="shared" si="27"/>
        <v>118.2136779538654</v>
      </c>
      <c r="V87">
        <f t="shared" si="28"/>
        <v>118.29927870906226</v>
      </c>
      <c r="W87">
        <f t="shared" si="21"/>
        <v>2.5557713584144039</v>
      </c>
      <c r="X87">
        <f t="shared" si="22"/>
        <v>8.5600755196864498E-2</v>
      </c>
    </row>
    <row r="88" spans="2:24" x14ac:dyDescent="0.25">
      <c r="B88">
        <f t="shared" si="31"/>
        <v>73</v>
      </c>
      <c r="C88">
        <f t="shared" si="32"/>
        <v>117.98650143643266</v>
      </c>
      <c r="D88">
        <f t="shared" si="33"/>
        <v>2.234803404857864</v>
      </c>
      <c r="F88">
        <f t="shared" si="29"/>
        <v>73</v>
      </c>
      <c r="G88">
        <f t="shared" si="30"/>
        <v>120.44313415377934</v>
      </c>
      <c r="H88">
        <f t="shared" si="23"/>
        <v>2.2249981005499935</v>
      </c>
      <c r="I88">
        <f t="shared" si="24"/>
        <v>122.66813225432934</v>
      </c>
      <c r="J88">
        <f t="shared" si="25"/>
        <v>2.215382432922103</v>
      </c>
      <c r="L88">
        <f t="shared" si="34"/>
        <v>73</v>
      </c>
      <c r="M88">
        <f t="shared" si="35"/>
        <v>120.52845729494719</v>
      </c>
      <c r="N88">
        <f t="shared" si="36"/>
        <v>2.2246421303775179</v>
      </c>
      <c r="O88">
        <f t="shared" si="37"/>
        <v>2.2199080133122702</v>
      </c>
      <c r="P88">
        <f t="shared" si="38"/>
        <v>2.2199182713011676</v>
      </c>
      <c r="Q88">
        <f t="shared" si="39"/>
        <v>2.2150228115255208</v>
      </c>
      <c r="S88">
        <f t="shared" si="20"/>
        <v>73</v>
      </c>
      <c r="T88">
        <f t="shared" si="26"/>
        <v>117.98650143643266</v>
      </c>
      <c r="U88">
        <f t="shared" si="27"/>
        <v>120.44313415377934</v>
      </c>
      <c r="V88">
        <f t="shared" si="28"/>
        <v>120.52845729494719</v>
      </c>
      <c r="W88">
        <f t="shared" si="21"/>
        <v>2.5419558585145268</v>
      </c>
      <c r="X88">
        <f t="shared" si="22"/>
        <v>8.5323141167847893E-2</v>
      </c>
    </row>
    <row r="89" spans="2:24" x14ac:dyDescent="0.25">
      <c r="B89">
        <f t="shared" si="31"/>
        <v>74</v>
      </c>
      <c r="C89">
        <f t="shared" si="32"/>
        <v>120.22130484129053</v>
      </c>
      <c r="D89">
        <f t="shared" si="33"/>
        <v>2.2259187727151555</v>
      </c>
      <c r="F89">
        <f t="shared" si="29"/>
        <v>74</v>
      </c>
      <c r="G89">
        <f t="shared" si="30"/>
        <v>122.66332442051539</v>
      </c>
      <c r="H89">
        <f t="shared" si="23"/>
        <v>2.2154039517239457</v>
      </c>
      <c r="I89">
        <f t="shared" si="24"/>
        <v>124.87872837223934</v>
      </c>
      <c r="J89">
        <f t="shared" si="25"/>
        <v>2.2051533995294781</v>
      </c>
      <c r="L89">
        <f t="shared" si="34"/>
        <v>74</v>
      </c>
      <c r="M89">
        <f t="shared" si="35"/>
        <v>122.74834354680218</v>
      </c>
      <c r="N89">
        <f t="shared" si="36"/>
        <v>2.2150229552018987</v>
      </c>
      <c r="O89">
        <f t="shared" si="37"/>
        <v>2.2099692578224768</v>
      </c>
      <c r="P89">
        <f t="shared" si="38"/>
        <v>2.2099809788821978</v>
      </c>
      <c r="Q89">
        <f t="shared" si="39"/>
        <v>2.2047727167877094</v>
      </c>
      <c r="S89">
        <f t="shared" si="20"/>
        <v>74</v>
      </c>
      <c r="T89">
        <f t="shared" si="26"/>
        <v>120.22130484129053</v>
      </c>
      <c r="U89">
        <f t="shared" si="27"/>
        <v>122.66332442051539</v>
      </c>
      <c r="V89">
        <f t="shared" si="28"/>
        <v>122.74834354680218</v>
      </c>
      <c r="W89">
        <f t="shared" si="21"/>
        <v>2.527038705511643</v>
      </c>
      <c r="X89">
        <f t="shared" si="22"/>
        <v>8.5019126286780988E-2</v>
      </c>
    </row>
    <row r="90" spans="2:24" x14ac:dyDescent="0.25">
      <c r="B90">
        <f t="shared" si="31"/>
        <v>75</v>
      </c>
      <c r="C90">
        <f t="shared" si="32"/>
        <v>122.44722361400569</v>
      </c>
      <c r="D90">
        <f t="shared" si="33"/>
        <v>2.2163678797898041</v>
      </c>
      <c r="F90">
        <f t="shared" si="29"/>
        <v>75</v>
      </c>
      <c r="G90">
        <f t="shared" si="30"/>
        <v>124.87360309614211</v>
      </c>
      <c r="H90">
        <f t="shared" si="23"/>
        <v>2.2051778828255477</v>
      </c>
      <c r="I90">
        <f t="shared" si="24"/>
        <v>127.07878097896766</v>
      </c>
      <c r="J90">
        <f t="shared" si="25"/>
        <v>2.1943193243498329</v>
      </c>
      <c r="L90">
        <f t="shared" si="34"/>
        <v>75</v>
      </c>
      <c r="M90">
        <f t="shared" si="35"/>
        <v>124.95829290436866</v>
      </c>
      <c r="N90">
        <f t="shared" si="36"/>
        <v>2.2047728681916836</v>
      </c>
      <c r="O90">
        <f t="shared" si="37"/>
        <v>2.1994130951626447</v>
      </c>
      <c r="P90">
        <f t="shared" si="38"/>
        <v>2.199426321646778</v>
      </c>
      <c r="Q90">
        <f t="shared" si="39"/>
        <v>2.1939186541338422</v>
      </c>
      <c r="S90">
        <f t="shared" si="20"/>
        <v>75</v>
      </c>
      <c r="T90">
        <f t="shared" si="26"/>
        <v>122.44722361400569</v>
      </c>
      <c r="U90">
        <f t="shared" si="27"/>
        <v>124.87360309614211</v>
      </c>
      <c r="V90">
        <f t="shared" si="28"/>
        <v>124.95829290436866</v>
      </c>
      <c r="W90">
        <f t="shared" si="21"/>
        <v>2.5110692903629683</v>
      </c>
      <c r="X90">
        <f t="shared" si="22"/>
        <v>8.4689808226556806E-2</v>
      </c>
    </row>
    <row r="91" spans="2:24" x14ac:dyDescent="0.25">
      <c r="B91">
        <f t="shared" si="31"/>
        <v>76</v>
      </c>
      <c r="C91">
        <f t="shared" si="32"/>
        <v>124.66359149379549</v>
      </c>
      <c r="D91">
        <f t="shared" si="33"/>
        <v>2.2061780559844633</v>
      </c>
      <c r="F91">
        <f t="shared" si="29"/>
        <v>76</v>
      </c>
      <c r="G91">
        <f t="shared" si="30"/>
        <v>127.0733516997298</v>
      </c>
      <c r="H91">
        <f t="shared" si="23"/>
        <v>2.1943468517866531</v>
      </c>
      <c r="I91">
        <f t="shared" si="24"/>
        <v>129.26769855151645</v>
      </c>
      <c r="J91">
        <f t="shared" si="25"/>
        <v>2.1829067394784714</v>
      </c>
      <c r="L91">
        <f t="shared" si="34"/>
        <v>76</v>
      </c>
      <c r="M91">
        <f t="shared" si="35"/>
        <v>127.15768796369272</v>
      </c>
      <c r="N91">
        <f t="shared" si="36"/>
        <v>2.1939188129758653</v>
      </c>
      <c r="O91">
        <f t="shared" si="37"/>
        <v>2.1882662541266593</v>
      </c>
      <c r="P91">
        <f t="shared" si="38"/>
        <v>2.1882810199852369</v>
      </c>
      <c r="Q91">
        <f t="shared" si="39"/>
        <v>2.1824871239613315</v>
      </c>
      <c r="S91">
        <f t="shared" si="20"/>
        <v>76</v>
      </c>
      <c r="T91">
        <f t="shared" si="26"/>
        <v>124.66359149379549</v>
      </c>
      <c r="U91">
        <f t="shared" si="27"/>
        <v>127.0733516997298</v>
      </c>
      <c r="V91">
        <f t="shared" si="28"/>
        <v>127.15768796369272</v>
      </c>
      <c r="W91">
        <f t="shared" si="21"/>
        <v>2.4940964698972294</v>
      </c>
      <c r="X91">
        <f t="shared" si="22"/>
        <v>8.4336263962924818E-2</v>
      </c>
    </row>
    <row r="92" spans="2:24" x14ac:dyDescent="0.25">
      <c r="B92">
        <f t="shared" si="31"/>
        <v>77</v>
      </c>
      <c r="C92">
        <f t="shared" si="32"/>
        <v>126.86976954977996</v>
      </c>
      <c r="D92">
        <f t="shared" si="33"/>
        <v>2.1953762436171842</v>
      </c>
      <c r="F92">
        <f t="shared" si="29"/>
        <v>77</v>
      </c>
      <c r="G92">
        <f t="shared" si="30"/>
        <v>129.26197849536237</v>
      </c>
      <c r="H92">
        <f t="shared" si="23"/>
        <v>2.1829373742717908</v>
      </c>
      <c r="I92">
        <f t="shared" si="24"/>
        <v>131.44491586963417</v>
      </c>
      <c r="J92">
        <f t="shared" si="25"/>
        <v>2.1709417142324243</v>
      </c>
      <c r="L92">
        <f t="shared" si="34"/>
        <v>77</v>
      </c>
      <c r="M92">
        <f t="shared" si="35"/>
        <v>129.3459380445529</v>
      </c>
      <c r="N92">
        <f t="shared" si="36"/>
        <v>2.1824872899851511</v>
      </c>
      <c r="O92">
        <f t="shared" si="37"/>
        <v>2.1765550100964672</v>
      </c>
      <c r="P92">
        <f t="shared" si="38"/>
        <v>2.1765713414708974</v>
      </c>
      <c r="Q92">
        <f t="shared" si="39"/>
        <v>2.1705041642340466</v>
      </c>
      <c r="S92">
        <f t="shared" ref="S92:S155" si="40">S91+1</f>
        <v>77</v>
      </c>
      <c r="T92">
        <f t="shared" si="26"/>
        <v>126.86976954977996</v>
      </c>
      <c r="U92">
        <f t="shared" si="27"/>
        <v>129.26197849536237</v>
      </c>
      <c r="V92">
        <f t="shared" si="28"/>
        <v>129.3459380445529</v>
      </c>
      <c r="W92">
        <f t="shared" ref="W92:W155" si="41">ABS(T92-V92)</f>
        <v>2.476168494772935</v>
      </c>
      <c r="X92">
        <f t="shared" ref="X92:X155" si="42">ABS(U92-V92)</f>
        <v>8.3959549190524285E-2</v>
      </c>
    </row>
    <row r="93" spans="2:24" x14ac:dyDescent="0.25">
      <c r="B93">
        <f t="shared" si="31"/>
        <v>78</v>
      </c>
      <c r="C93">
        <f t="shared" si="32"/>
        <v>129.06514579339714</v>
      </c>
      <c r="D93">
        <f t="shared" si="33"/>
        <v>2.1839889730513851</v>
      </c>
      <c r="F93">
        <f t="shared" si="29"/>
        <v>78</v>
      </c>
      <c r="G93">
        <f t="shared" si="30"/>
        <v>131.43891803961446</v>
      </c>
      <c r="H93">
        <f t="shared" si="23"/>
        <v>2.1709755043330055</v>
      </c>
      <c r="I93">
        <f t="shared" si="24"/>
        <v>133.60989354394746</v>
      </c>
      <c r="J93">
        <f t="shared" si="25"/>
        <v>2.1584498381557848</v>
      </c>
      <c r="L93">
        <f t="shared" si="34"/>
        <v>78</v>
      </c>
      <c r="M93">
        <f t="shared" si="35"/>
        <v>131.52247873744523</v>
      </c>
      <c r="N93">
        <f t="shared" si="36"/>
        <v>2.1705043372115909</v>
      </c>
      <c r="O93">
        <f t="shared" si="37"/>
        <v>2.1643051669774325</v>
      </c>
      <c r="P93">
        <f t="shared" si="38"/>
        <v>2.1643230827668969</v>
      </c>
      <c r="Q93">
        <f t="shared" si="39"/>
        <v>2.1579953335294806</v>
      </c>
      <c r="S93">
        <f t="shared" si="40"/>
        <v>78</v>
      </c>
      <c r="T93">
        <f t="shared" si="26"/>
        <v>129.06514579339714</v>
      </c>
      <c r="U93">
        <f t="shared" si="27"/>
        <v>131.43891803961446</v>
      </c>
      <c r="V93">
        <f t="shared" si="28"/>
        <v>131.52247873744523</v>
      </c>
      <c r="W93">
        <f t="shared" si="41"/>
        <v>2.4573329440480904</v>
      </c>
      <c r="X93">
        <f t="shared" si="42"/>
        <v>8.3560697830762365E-2</v>
      </c>
    </row>
    <row r="94" spans="2:24" x14ac:dyDescent="0.25">
      <c r="B94">
        <f t="shared" si="31"/>
        <v>79</v>
      </c>
      <c r="C94">
        <f t="shared" si="32"/>
        <v>131.24913476644852</v>
      </c>
      <c r="D94">
        <f t="shared" si="33"/>
        <v>2.1720423408658478</v>
      </c>
      <c r="F94">
        <f t="shared" si="29"/>
        <v>79</v>
      </c>
      <c r="G94">
        <f t="shared" si="30"/>
        <v>133.60363071085885</v>
      </c>
      <c r="H94">
        <f t="shared" si="23"/>
        <v>2.1584868173595844</v>
      </c>
      <c r="I94">
        <f t="shared" si="24"/>
        <v>135.76211752821843</v>
      </c>
      <c r="J94">
        <f t="shared" si="25"/>
        <v>2.1454562061828062</v>
      </c>
      <c r="L94">
        <f t="shared" si="34"/>
        <v>79</v>
      </c>
      <c r="M94">
        <f t="shared" si="35"/>
        <v>133.68677143248351</v>
      </c>
      <c r="N94">
        <f t="shared" si="36"/>
        <v>2.1579955132563291</v>
      </c>
      <c r="O94">
        <f t="shared" si="37"/>
        <v>2.1515420413530837</v>
      </c>
      <c r="P94">
        <f t="shared" si="38"/>
        <v>2.1515615537531727</v>
      </c>
      <c r="Q94">
        <f t="shared" si="39"/>
        <v>2.1449856962387113</v>
      </c>
      <c r="S94">
        <f t="shared" si="40"/>
        <v>79</v>
      </c>
      <c r="T94">
        <f t="shared" si="26"/>
        <v>131.24913476644852</v>
      </c>
      <c r="U94">
        <f t="shared" si="27"/>
        <v>133.60363071085885</v>
      </c>
      <c r="V94">
        <f t="shared" si="28"/>
        <v>133.68677143248351</v>
      </c>
      <c r="W94">
        <f t="shared" si="41"/>
        <v>2.4376366660349902</v>
      </c>
      <c r="X94">
        <f t="shared" si="42"/>
        <v>8.3140721624658909E-2</v>
      </c>
    </row>
    <row r="95" spans="2:24" x14ac:dyDescent="0.25">
      <c r="B95">
        <f t="shared" si="31"/>
        <v>80</v>
      </c>
      <c r="C95">
        <f t="shared" si="32"/>
        <v>133.42117710731438</v>
      </c>
      <c r="D95">
        <f t="shared" si="33"/>
        <v>2.1595619904250936</v>
      </c>
      <c r="F95">
        <f t="shared" si="29"/>
        <v>80</v>
      </c>
      <c r="G95">
        <f t="shared" si="30"/>
        <v>135.75560222263005</v>
      </c>
      <c r="H95">
        <f t="shared" si="23"/>
        <v>2.1454963951869859</v>
      </c>
      <c r="I95">
        <f t="shared" si="24"/>
        <v>137.90109861781704</v>
      </c>
      <c r="J95">
        <f t="shared" si="25"/>
        <v>2.1319854058283036</v>
      </c>
      <c r="L95">
        <f t="shared" si="34"/>
        <v>80</v>
      </c>
      <c r="M95">
        <f t="shared" si="35"/>
        <v>135.83830283243478</v>
      </c>
      <c r="N95">
        <f t="shared" si="36"/>
        <v>2.144985882530118</v>
      </c>
      <c r="O95">
        <f t="shared" si="37"/>
        <v>2.1382904487265093</v>
      </c>
      <c r="P95">
        <f t="shared" si="38"/>
        <v>2.1383115637408991</v>
      </c>
      <c r="Q95">
        <f t="shared" si="39"/>
        <v>2.1314998097891618</v>
      </c>
      <c r="S95">
        <f t="shared" si="40"/>
        <v>80</v>
      </c>
      <c r="T95">
        <f t="shared" si="26"/>
        <v>133.42117710731438</v>
      </c>
      <c r="U95">
        <f t="shared" si="27"/>
        <v>135.75560222263005</v>
      </c>
      <c r="V95">
        <f t="shared" si="28"/>
        <v>135.83830283243478</v>
      </c>
      <c r="W95">
        <f t="shared" si="41"/>
        <v>2.4171257251203997</v>
      </c>
      <c r="X95">
        <f t="shared" si="42"/>
        <v>8.2700609804732039E-2</v>
      </c>
    </row>
    <row r="96" spans="2:24" x14ac:dyDescent="0.25">
      <c r="B96">
        <f t="shared" si="31"/>
        <v>81</v>
      </c>
      <c r="C96">
        <f t="shared" si="32"/>
        <v>135.58073909773947</v>
      </c>
      <c r="D96">
        <f t="shared" si="33"/>
        <v>2.1465730947151589</v>
      </c>
      <c r="F96">
        <f t="shared" si="29"/>
        <v>81</v>
      </c>
      <c r="G96">
        <f t="shared" si="30"/>
        <v>137.8943431231377</v>
      </c>
      <c r="H96">
        <f t="shared" si="23"/>
        <v>2.1320288132345904</v>
      </c>
      <c r="I96">
        <f t="shared" si="24"/>
        <v>140.0263719363723</v>
      </c>
      <c r="J96">
        <f t="shared" si="25"/>
        <v>2.1180615062801924</v>
      </c>
      <c r="L96">
        <f t="shared" si="34"/>
        <v>81</v>
      </c>
      <c r="M96">
        <f t="shared" si="35"/>
        <v>137.97658445197712</v>
      </c>
      <c r="N96">
        <f t="shared" si="36"/>
        <v>2.1315000024765562</v>
      </c>
      <c r="O96">
        <f t="shared" si="37"/>
        <v>2.1245746917210173</v>
      </c>
      <c r="P96">
        <f t="shared" si="38"/>
        <v>2.1245974096470022</v>
      </c>
      <c r="Q96">
        <f t="shared" si="39"/>
        <v>2.1175617137652898</v>
      </c>
      <c r="S96">
        <f t="shared" si="40"/>
        <v>81</v>
      </c>
      <c r="T96">
        <f t="shared" si="26"/>
        <v>135.58073909773947</v>
      </c>
      <c r="U96">
        <f t="shared" si="27"/>
        <v>137.8943431231377</v>
      </c>
      <c r="V96">
        <f t="shared" si="28"/>
        <v>137.97658445197712</v>
      </c>
      <c r="W96">
        <f t="shared" si="41"/>
        <v>2.3958453542376503</v>
      </c>
      <c r="X96">
        <f t="shared" si="42"/>
        <v>8.2241328839415928E-2</v>
      </c>
    </row>
    <row r="97" spans="2:24" x14ac:dyDescent="0.25">
      <c r="B97">
        <f t="shared" si="31"/>
        <v>82</v>
      </c>
      <c r="C97">
        <f t="shared" si="32"/>
        <v>137.72731219245463</v>
      </c>
      <c r="D97">
        <f t="shared" si="33"/>
        <v>2.1331003413143867</v>
      </c>
      <c r="F97">
        <f t="shared" si="29"/>
        <v>82</v>
      </c>
      <c r="G97">
        <f t="shared" si="30"/>
        <v>140.01938828289508</v>
      </c>
      <c r="H97">
        <f t="shared" si="23"/>
        <v>2.1181081295471835</v>
      </c>
      <c r="I97">
        <f t="shared" si="24"/>
        <v>142.13749641244226</v>
      </c>
      <c r="J97">
        <f t="shared" si="25"/>
        <v>2.1037080492742222</v>
      </c>
      <c r="L97">
        <f t="shared" si="34"/>
        <v>82</v>
      </c>
      <c r="M97">
        <f t="shared" si="35"/>
        <v>140.1011521051401</v>
      </c>
      <c r="N97">
        <f t="shared" si="36"/>
        <v>2.1175619126932177</v>
      </c>
      <c r="O97">
        <f t="shared" si="37"/>
        <v>2.1104185501177892</v>
      </c>
      <c r="P97">
        <f t="shared" si="38"/>
        <v>2.110442866006526</v>
      </c>
      <c r="Q97">
        <f t="shared" si="39"/>
        <v>2.1031949208076486</v>
      </c>
      <c r="S97">
        <f t="shared" si="40"/>
        <v>82</v>
      </c>
      <c r="T97">
        <f t="shared" si="26"/>
        <v>137.72731219245463</v>
      </c>
      <c r="U97">
        <f t="shared" si="27"/>
        <v>140.01938828289508</v>
      </c>
      <c r="V97">
        <f t="shared" si="28"/>
        <v>140.1011521051401</v>
      </c>
      <c r="W97">
        <f t="shared" si="41"/>
        <v>2.3738399126854688</v>
      </c>
      <c r="X97">
        <f t="shared" si="42"/>
        <v>8.1763822245022766E-2</v>
      </c>
    </row>
    <row r="98" spans="2:24" x14ac:dyDescent="0.25">
      <c r="B98">
        <f t="shared" si="31"/>
        <v>83</v>
      </c>
      <c r="C98">
        <f t="shared" si="32"/>
        <v>139.86041253376902</v>
      </c>
      <c r="D98">
        <f t="shared" si="33"/>
        <v>2.1191679193736266</v>
      </c>
      <c r="F98">
        <f t="shared" si="29"/>
        <v>83</v>
      </c>
      <c r="G98">
        <f t="shared" si="30"/>
        <v>142.13029637230579</v>
      </c>
      <c r="H98">
        <f t="shared" si="23"/>
        <v>2.1037578756202135</v>
      </c>
      <c r="I98">
        <f t="shared" si="24"/>
        <v>144.234054247926</v>
      </c>
      <c r="J98">
        <f t="shared" si="25"/>
        <v>2.0889480416360739</v>
      </c>
      <c r="L98">
        <f t="shared" si="34"/>
        <v>83</v>
      </c>
      <c r="M98">
        <f t="shared" si="35"/>
        <v>142.21156538276503</v>
      </c>
      <c r="N98">
        <f t="shared" si="36"/>
        <v>2.1031951258311103</v>
      </c>
      <c r="O98">
        <f t="shared" si="37"/>
        <v>2.0958452726135381</v>
      </c>
      <c r="P98">
        <f t="shared" si="38"/>
        <v>2.0958711767058409</v>
      </c>
      <c r="Q98">
        <f t="shared" si="39"/>
        <v>2.0884224091757546</v>
      </c>
      <c r="S98">
        <f t="shared" si="40"/>
        <v>83</v>
      </c>
      <c r="T98">
        <f t="shared" si="26"/>
        <v>139.86041253376902</v>
      </c>
      <c r="U98">
        <f t="shared" si="27"/>
        <v>142.13029637230579</v>
      </c>
      <c r="V98">
        <f t="shared" si="28"/>
        <v>142.21156538276503</v>
      </c>
      <c r="W98">
        <f t="shared" si="41"/>
        <v>2.3511528489960085</v>
      </c>
      <c r="X98">
        <f t="shared" si="42"/>
        <v>8.1269010459237734E-2</v>
      </c>
    </row>
    <row r="99" spans="2:24" x14ac:dyDescent="0.25">
      <c r="B99">
        <f t="shared" si="31"/>
        <v>84</v>
      </c>
      <c r="C99">
        <f t="shared" si="32"/>
        <v>141.97958045314266</v>
      </c>
      <c r="D99">
        <f t="shared" si="33"/>
        <v>2.1047995084848425</v>
      </c>
      <c r="F99">
        <f t="shared" si="29"/>
        <v>84</v>
      </c>
      <c r="G99">
        <f t="shared" si="30"/>
        <v>144.22664933093392</v>
      </c>
      <c r="H99">
        <f t="shared" si="23"/>
        <v>2.089001048894088</v>
      </c>
      <c r="I99">
        <f t="shared" si="24"/>
        <v>146.31565037982801</v>
      </c>
      <c r="J99">
        <f t="shared" si="25"/>
        <v>2.0738039493810545</v>
      </c>
      <c r="L99">
        <f t="shared" si="34"/>
        <v>84</v>
      </c>
      <c r="M99">
        <f t="shared" si="35"/>
        <v>144.30740712170598</v>
      </c>
      <c r="N99">
        <f t="shared" si="36"/>
        <v>2.0884226201578939</v>
      </c>
      <c r="O99">
        <f t="shared" si="37"/>
        <v>2.0808775701861593</v>
      </c>
      <c r="P99">
        <f t="shared" si="38"/>
        <v>2.0809050483246896</v>
      </c>
      <c r="Q99">
        <f t="shared" si="39"/>
        <v>2.0732666168653306</v>
      </c>
      <c r="S99">
        <f t="shared" si="40"/>
        <v>84</v>
      </c>
      <c r="T99">
        <f t="shared" si="26"/>
        <v>141.97958045314266</v>
      </c>
      <c r="U99">
        <f t="shared" si="27"/>
        <v>144.22664933093392</v>
      </c>
      <c r="V99">
        <f t="shared" si="28"/>
        <v>144.30740712170598</v>
      </c>
      <c r="W99">
        <f t="shared" si="41"/>
        <v>2.3278266685633184</v>
      </c>
      <c r="X99">
        <f t="shared" si="42"/>
        <v>8.075779077205425E-2</v>
      </c>
    </row>
    <row r="100" spans="2:24" x14ac:dyDescent="0.25">
      <c r="B100">
        <f t="shared" si="31"/>
        <v>85</v>
      </c>
      <c r="C100">
        <f t="shared" si="32"/>
        <v>144.08437996162749</v>
      </c>
      <c r="D100">
        <f t="shared" si="33"/>
        <v>2.0900182693219431</v>
      </c>
      <c r="F100">
        <f t="shared" si="29"/>
        <v>85</v>
      </c>
      <c r="G100">
        <f t="shared" si="30"/>
        <v>146.30805183007149</v>
      </c>
      <c r="H100">
        <f t="shared" si="23"/>
        <v>2.0738601068076812</v>
      </c>
      <c r="I100">
        <f t="shared" si="24"/>
        <v>148.38191193687916</v>
      </c>
      <c r="J100">
        <f t="shared" si="25"/>
        <v>2.0582976932665242</v>
      </c>
      <c r="L100">
        <f t="shared" si="34"/>
        <v>85</v>
      </c>
      <c r="M100">
        <f t="shared" si="35"/>
        <v>146.38828286738013</v>
      </c>
      <c r="N100">
        <f t="shared" si="36"/>
        <v>2.0732668336754401</v>
      </c>
      <c r="O100">
        <f t="shared" si="37"/>
        <v>2.0655376109613273</v>
      </c>
      <c r="P100">
        <f t="shared" si="38"/>
        <v>2.0655666449800902</v>
      </c>
      <c r="Q100">
        <f t="shared" si="39"/>
        <v>2.0577494371752829</v>
      </c>
      <c r="S100">
        <f t="shared" si="40"/>
        <v>85</v>
      </c>
      <c r="T100">
        <f t="shared" si="26"/>
        <v>144.08437996162749</v>
      </c>
      <c r="U100">
        <f t="shared" si="27"/>
        <v>146.30805183007149</v>
      </c>
      <c r="V100">
        <f t="shared" si="28"/>
        <v>146.38828286738013</v>
      </c>
      <c r="W100">
        <f t="shared" si="41"/>
        <v>2.3039029057526363</v>
      </c>
      <c r="X100">
        <f t="shared" si="42"/>
        <v>8.0231037308635678E-2</v>
      </c>
    </row>
    <row r="101" spans="2:24" x14ac:dyDescent="0.25">
      <c r="B101">
        <f t="shared" si="31"/>
        <v>86</v>
      </c>
      <c r="C101">
        <f t="shared" si="32"/>
        <v>146.17439823094944</v>
      </c>
      <c r="D101">
        <f t="shared" si="33"/>
        <v>2.0748468359421897</v>
      </c>
      <c r="F101">
        <f t="shared" si="29"/>
        <v>86</v>
      </c>
      <c r="G101">
        <f t="shared" si="30"/>
        <v>148.37413073010859</v>
      </c>
      <c r="H101">
        <f t="shared" si="23"/>
        <v>2.0583569623062612</v>
      </c>
      <c r="I101">
        <f t="shared" si="24"/>
        <v>150.43248769241484</v>
      </c>
      <c r="J101">
        <f t="shared" si="25"/>
        <v>2.0424506456970497</v>
      </c>
      <c r="L101">
        <f t="shared" si="34"/>
        <v>86</v>
      </c>
      <c r="M101">
        <f t="shared" si="35"/>
        <v>148.45382033116906</v>
      </c>
      <c r="N101">
        <f t="shared" si="36"/>
        <v>2.0577496596870963</v>
      </c>
      <c r="O101">
        <f t="shared" si="37"/>
        <v>2.0498470164779574</v>
      </c>
      <c r="P101">
        <f t="shared" si="38"/>
        <v>2.0498775845698911</v>
      </c>
      <c r="Q101">
        <f t="shared" si="39"/>
        <v>2.0418922156246992</v>
      </c>
      <c r="S101">
        <f t="shared" si="40"/>
        <v>86</v>
      </c>
      <c r="T101">
        <f t="shared" si="26"/>
        <v>146.17439823094944</v>
      </c>
      <c r="U101">
        <f t="shared" si="27"/>
        <v>148.37413073010859</v>
      </c>
      <c r="V101">
        <f t="shared" si="28"/>
        <v>148.45382033116906</v>
      </c>
      <c r="W101">
        <f t="shared" si="41"/>
        <v>2.2794221002196196</v>
      </c>
      <c r="X101">
        <f t="shared" si="42"/>
        <v>7.968960106046552E-2</v>
      </c>
    </row>
    <row r="102" spans="2:24" x14ac:dyDescent="0.25">
      <c r="B102">
        <f t="shared" si="31"/>
        <v>87</v>
      </c>
      <c r="C102">
        <f t="shared" si="32"/>
        <v>148.24924506689163</v>
      </c>
      <c r="D102">
        <f t="shared" si="33"/>
        <v>2.0593073096412429</v>
      </c>
      <c r="F102">
        <f t="shared" si="29"/>
        <v>87</v>
      </c>
      <c r="G102">
        <f t="shared" si="30"/>
        <v>150.42453453411025</v>
      </c>
      <c r="H102">
        <f t="shared" si="23"/>
        <v>2.0425129807037892</v>
      </c>
      <c r="I102">
        <f t="shared" si="24"/>
        <v>152.46704751481403</v>
      </c>
      <c r="J102">
        <f t="shared" si="25"/>
        <v>2.0262836288869606</v>
      </c>
      <c r="L102">
        <f t="shared" si="34"/>
        <v>87</v>
      </c>
      <c r="M102">
        <f t="shared" si="35"/>
        <v>150.50366884407029</v>
      </c>
      <c r="N102">
        <f t="shared" si="36"/>
        <v>2.0418924437149477</v>
      </c>
      <c r="O102">
        <f t="shared" si="37"/>
        <v>2.033826859255051</v>
      </c>
      <c r="P102">
        <f t="shared" si="38"/>
        <v>2.0338589363186199</v>
      </c>
      <c r="Q102">
        <f t="shared" si="39"/>
        <v>2.0257157481247696</v>
      </c>
      <c r="S102">
        <f t="shared" si="40"/>
        <v>87</v>
      </c>
      <c r="T102">
        <f t="shared" si="26"/>
        <v>148.24924506689163</v>
      </c>
      <c r="U102">
        <f t="shared" si="27"/>
        <v>150.42453453411025</v>
      </c>
      <c r="V102">
        <f t="shared" si="28"/>
        <v>150.50366884407029</v>
      </c>
      <c r="W102">
        <f t="shared" si="41"/>
        <v>2.2544237771786584</v>
      </c>
      <c r="X102">
        <f t="shared" si="42"/>
        <v>7.9134309960039673E-2</v>
      </c>
    </row>
    <row r="103" spans="2:24" x14ac:dyDescent="0.25">
      <c r="B103">
        <f t="shared" si="31"/>
        <v>88</v>
      </c>
      <c r="C103">
        <f t="shared" si="32"/>
        <v>150.30855237653287</v>
      </c>
      <c r="D103">
        <f t="shared" si="33"/>
        <v>2.0434212542594197</v>
      </c>
      <c r="F103">
        <f t="shared" si="29"/>
        <v>88</v>
      </c>
      <c r="G103">
        <f t="shared" si="30"/>
        <v>152.45893283890564</v>
      </c>
      <c r="H103">
        <f t="shared" si="23"/>
        <v>2.0263489778042691</v>
      </c>
      <c r="I103">
        <f t="shared" si="24"/>
        <v>154.48528181670991</v>
      </c>
      <c r="J103">
        <f t="shared" si="25"/>
        <v>2.0098169141895403</v>
      </c>
      <c r="L103">
        <f t="shared" si="34"/>
        <v>88</v>
      </c>
      <c r="M103">
        <f t="shared" si="35"/>
        <v>152.53749880790147</v>
      </c>
      <c r="N103">
        <f t="shared" si="36"/>
        <v>2.0257159816719508</v>
      </c>
      <c r="O103">
        <f t="shared" si="37"/>
        <v>2.0174976615671905</v>
      </c>
      <c r="P103">
        <f t="shared" si="38"/>
        <v>2.0175312195327821</v>
      </c>
      <c r="Q103">
        <f t="shared" si="39"/>
        <v>2.009240280315062</v>
      </c>
      <c r="S103">
        <f t="shared" si="40"/>
        <v>88</v>
      </c>
      <c r="T103">
        <f t="shared" si="26"/>
        <v>150.30855237653287</v>
      </c>
      <c r="U103">
        <f t="shared" si="27"/>
        <v>152.45893283890564</v>
      </c>
      <c r="V103">
        <f t="shared" si="28"/>
        <v>152.53749880790147</v>
      </c>
      <c r="W103">
        <f t="shared" si="41"/>
        <v>2.2289464313685983</v>
      </c>
      <c r="X103">
        <f t="shared" si="42"/>
        <v>7.8565968995832236E-2</v>
      </c>
    </row>
    <row r="104" spans="2:24" x14ac:dyDescent="0.25">
      <c r="B104">
        <f t="shared" si="31"/>
        <v>89</v>
      </c>
      <c r="C104">
        <f t="shared" si="32"/>
        <v>152.35197363079229</v>
      </c>
      <c r="D104">
        <f t="shared" si="33"/>
        <v>2.0272096928411987</v>
      </c>
      <c r="F104">
        <f t="shared" si="29"/>
        <v>89</v>
      </c>
      <c r="G104">
        <f t="shared" si="30"/>
        <v>154.47701578490253</v>
      </c>
      <c r="H104">
        <f t="shared" si="23"/>
        <v>2.009885219191379</v>
      </c>
      <c r="I104">
        <f t="shared" si="24"/>
        <v>156.48690100409391</v>
      </c>
      <c r="J104">
        <f t="shared" si="25"/>
        <v>1.9930702225065928</v>
      </c>
      <c r="L104">
        <f t="shared" si="34"/>
        <v>89</v>
      </c>
      <c r="M104">
        <f t="shared" si="35"/>
        <v>154.55500114526598</v>
      </c>
      <c r="N104">
        <f t="shared" si="36"/>
        <v>2.009240519198416</v>
      </c>
      <c r="O104">
        <f t="shared" si="37"/>
        <v>2.0008793953403821</v>
      </c>
      <c r="P104">
        <f t="shared" si="38"/>
        <v>2.0009144034773607</v>
      </c>
      <c r="Q104">
        <f t="shared" si="39"/>
        <v>1.9924855079781032</v>
      </c>
      <c r="S104">
        <f t="shared" si="40"/>
        <v>89</v>
      </c>
      <c r="T104">
        <f t="shared" si="26"/>
        <v>152.35197363079229</v>
      </c>
      <c r="U104">
        <f t="shared" si="27"/>
        <v>154.47701578490253</v>
      </c>
      <c r="V104">
        <f t="shared" si="28"/>
        <v>154.55500114526598</v>
      </c>
      <c r="W104">
        <f t="shared" si="41"/>
        <v>2.2030275144736891</v>
      </c>
      <c r="X104">
        <f t="shared" si="42"/>
        <v>7.7985360363442169E-2</v>
      </c>
    </row>
    <row r="105" spans="2:24" x14ac:dyDescent="0.25">
      <c r="B105">
        <f t="shared" si="31"/>
        <v>90</v>
      </c>
      <c r="C105">
        <f t="shared" si="32"/>
        <v>154.3791833236335</v>
      </c>
      <c r="D105">
        <f t="shared" si="33"/>
        <v>2.0106931055544512</v>
      </c>
      <c r="F105">
        <f t="shared" si="29"/>
        <v>90</v>
      </c>
      <c r="G105">
        <f t="shared" si="30"/>
        <v>156.47849350575152</v>
      </c>
      <c r="H105">
        <f t="shared" si="23"/>
        <v>1.9931414206000726</v>
      </c>
      <c r="I105">
        <f t="shared" si="24"/>
        <v>158.47163492635158</v>
      </c>
      <c r="J105">
        <f t="shared" si="25"/>
        <v>1.9760627256963519</v>
      </c>
      <c r="L105">
        <f t="shared" si="34"/>
        <v>90</v>
      </c>
      <c r="M105">
        <f t="shared" si="35"/>
        <v>156.55588674940131</v>
      </c>
      <c r="N105">
        <f t="shared" si="36"/>
        <v>1.992485752076774</v>
      </c>
      <c r="O105">
        <f t="shared" si="37"/>
        <v>1.9839914830843051</v>
      </c>
      <c r="P105">
        <f t="shared" si="38"/>
        <v>1.9840279082895367</v>
      </c>
      <c r="Q105">
        <f t="shared" si="39"/>
        <v>1.9754705784504487</v>
      </c>
      <c r="S105">
        <f t="shared" si="40"/>
        <v>90</v>
      </c>
      <c r="T105">
        <f t="shared" si="26"/>
        <v>154.3791833236335</v>
      </c>
      <c r="U105">
        <f t="shared" si="27"/>
        <v>156.47849350575152</v>
      </c>
      <c r="V105">
        <f t="shared" si="28"/>
        <v>156.55588674940131</v>
      </c>
      <c r="W105">
        <f t="shared" si="41"/>
        <v>2.176703425767812</v>
      </c>
      <c r="X105">
        <f t="shared" si="42"/>
        <v>7.7393243649794385E-2</v>
      </c>
    </row>
    <row r="106" spans="2:24" x14ac:dyDescent="0.25">
      <c r="B106">
        <f t="shared" si="31"/>
        <v>91</v>
      </c>
      <c r="C106">
        <f t="shared" si="32"/>
        <v>156.38987642918795</v>
      </c>
      <c r="D106">
        <f t="shared" si="33"/>
        <v>1.9938914287801306</v>
      </c>
      <c r="F106">
        <f t="shared" si="29"/>
        <v>91</v>
      </c>
      <c r="G106">
        <f t="shared" si="30"/>
        <v>158.46309557889973</v>
      </c>
      <c r="H106">
        <f t="shared" si="23"/>
        <v>1.9761367492881319</v>
      </c>
      <c r="I106">
        <f t="shared" si="24"/>
        <v>160.43923232818787</v>
      </c>
      <c r="J106">
        <f t="shared" si="25"/>
        <v>1.9588130489019311</v>
      </c>
      <c r="L106">
        <f t="shared" si="34"/>
        <v>91</v>
      </c>
      <c r="M106">
        <f t="shared" si="35"/>
        <v>158.53988593494714</v>
      </c>
      <c r="N106">
        <f t="shared" si="36"/>
        <v>1.9754708276427984</v>
      </c>
      <c r="O106">
        <f t="shared" si="37"/>
        <v>1.9668527997813003</v>
      </c>
      <c r="P106">
        <f t="shared" si="38"/>
        <v>1.9668906068499388</v>
      </c>
      <c r="Q106">
        <f t="shared" si="39"/>
        <v>1.95821409295257</v>
      </c>
      <c r="S106">
        <f t="shared" si="40"/>
        <v>91</v>
      </c>
      <c r="T106">
        <f t="shared" si="26"/>
        <v>156.38987642918795</v>
      </c>
      <c r="U106">
        <f t="shared" si="27"/>
        <v>158.46309557889973</v>
      </c>
      <c r="V106">
        <f t="shared" si="28"/>
        <v>158.53988593494714</v>
      </c>
      <c r="W106">
        <f t="shared" si="41"/>
        <v>2.1500095057591864</v>
      </c>
      <c r="X106">
        <f t="shared" si="42"/>
        <v>7.6790356047411024E-2</v>
      </c>
    </row>
    <row r="107" spans="2:24" x14ac:dyDescent="0.25">
      <c r="B107">
        <f t="shared" si="31"/>
        <v>92</v>
      </c>
      <c r="C107">
        <f t="shared" si="32"/>
        <v>158.38376785796808</v>
      </c>
      <c r="D107">
        <f t="shared" si="33"/>
        <v>1.9768240552873346</v>
      </c>
      <c r="F107">
        <f t="shared" si="29"/>
        <v>92</v>
      </c>
      <c r="G107">
        <f t="shared" si="30"/>
        <v>160.43057047799476</v>
      </c>
      <c r="H107">
        <f t="shared" si="23"/>
        <v>1.9588898263298113</v>
      </c>
      <c r="I107">
        <f t="shared" si="24"/>
        <v>162.38946030432459</v>
      </c>
      <c r="J107">
        <f t="shared" si="25"/>
        <v>1.941339273726552</v>
      </c>
      <c r="L107">
        <f t="shared" si="34"/>
        <v>92</v>
      </c>
      <c r="M107">
        <f t="shared" si="35"/>
        <v>160.50674789059011</v>
      </c>
      <c r="N107">
        <f t="shared" si="36"/>
        <v>1.958214347115633</v>
      </c>
      <c r="O107">
        <f t="shared" si="37"/>
        <v>1.9494816756564677</v>
      </c>
      <c r="P107">
        <f t="shared" si="38"/>
        <v>1.9495208275358016</v>
      </c>
      <c r="Q107">
        <f t="shared" si="39"/>
        <v>1.9407341097639839</v>
      </c>
      <c r="S107">
        <f t="shared" si="40"/>
        <v>92</v>
      </c>
      <c r="T107">
        <f t="shared" si="26"/>
        <v>158.38376785796808</v>
      </c>
      <c r="U107">
        <f t="shared" si="27"/>
        <v>160.43057047799476</v>
      </c>
      <c r="V107">
        <f t="shared" si="28"/>
        <v>160.50674789059011</v>
      </c>
      <c r="W107">
        <f t="shared" si="41"/>
        <v>2.1229800326220243</v>
      </c>
      <c r="X107">
        <f t="shared" si="42"/>
        <v>7.6177412595342275E-2</v>
      </c>
    </row>
    <row r="108" spans="2:24" x14ac:dyDescent="0.25">
      <c r="B108">
        <f t="shared" si="31"/>
        <v>93</v>
      </c>
      <c r="C108">
        <f t="shared" si="32"/>
        <v>160.3605919132554</v>
      </c>
      <c r="D108">
        <f t="shared" si="33"/>
        <v>1.9595098354128362</v>
      </c>
      <c r="F108">
        <f t="shared" si="29"/>
        <v>93</v>
      </c>
      <c r="G108">
        <f t="shared" si="30"/>
        <v>162.38068502802295</v>
      </c>
      <c r="H108">
        <f t="shared" si="23"/>
        <v>1.9414187297577914</v>
      </c>
      <c r="I108">
        <f t="shared" si="24"/>
        <v>164.32210375778075</v>
      </c>
      <c r="J108">
        <f t="shared" si="25"/>
        <v>1.9236589421856034</v>
      </c>
      <c r="L108">
        <f t="shared" si="34"/>
        <v>93</v>
      </c>
      <c r="M108">
        <f t="shared" si="35"/>
        <v>162.45624013446746</v>
      </c>
      <c r="N108">
        <f t="shared" si="36"/>
        <v>1.9407343687730518</v>
      </c>
      <c r="O108">
        <f t="shared" si="37"/>
        <v>1.9318958997572386</v>
      </c>
      <c r="P108">
        <f t="shared" si="38"/>
        <v>1.931936357784348</v>
      </c>
      <c r="Q108">
        <f t="shared" si="39"/>
        <v>1.9230481481738271</v>
      </c>
      <c r="S108">
        <f t="shared" si="40"/>
        <v>93</v>
      </c>
      <c r="T108">
        <f t="shared" si="26"/>
        <v>160.3605919132554</v>
      </c>
      <c r="U108">
        <f t="shared" si="27"/>
        <v>162.38068502802295</v>
      </c>
      <c r="V108">
        <f t="shared" si="28"/>
        <v>162.45624013446746</v>
      </c>
      <c r="W108">
        <f t="shared" si="41"/>
        <v>2.0956482212120591</v>
      </c>
      <c r="X108">
        <f t="shared" si="42"/>
        <v>7.5555106444511466E-2</v>
      </c>
    </row>
    <row r="109" spans="2:24" x14ac:dyDescent="0.25">
      <c r="B109">
        <f t="shared" si="31"/>
        <v>94</v>
      </c>
      <c r="C109">
        <f t="shared" si="32"/>
        <v>162.32010174866824</v>
      </c>
      <c r="D109">
        <f t="shared" si="33"/>
        <v>1.9419670791680026</v>
      </c>
      <c r="F109">
        <f t="shared" si="29"/>
        <v>94</v>
      </c>
      <c r="G109">
        <f t="shared" si="30"/>
        <v>164.31322386399464</v>
      </c>
      <c r="H109">
        <f t="shared" si="23"/>
        <v>1.923740998483459</v>
      </c>
      <c r="I109">
        <f t="shared" si="24"/>
        <v>166.23696486247809</v>
      </c>
      <c r="J109">
        <f t="shared" si="25"/>
        <v>1.9057890613694575</v>
      </c>
      <c r="L109">
        <f t="shared" si="34"/>
        <v>94</v>
      </c>
      <c r="M109">
        <f t="shared" si="35"/>
        <v>164.38814797313913</v>
      </c>
      <c r="N109">
        <f t="shared" si="36"/>
        <v>1.9230484119021358</v>
      </c>
      <c r="O109">
        <f t="shared" si="37"/>
        <v>1.9141127242745606</v>
      </c>
      <c r="P109">
        <f t="shared" si="38"/>
        <v>1.9141544483985462</v>
      </c>
      <c r="Q109">
        <f t="shared" si="39"/>
        <v>1.905173193140929</v>
      </c>
      <c r="S109">
        <f t="shared" si="40"/>
        <v>94</v>
      </c>
      <c r="T109">
        <f t="shared" si="26"/>
        <v>162.32010174866824</v>
      </c>
      <c r="U109">
        <f t="shared" si="27"/>
        <v>164.31322386399464</v>
      </c>
      <c r="V109">
        <f t="shared" si="28"/>
        <v>164.38814797313913</v>
      </c>
      <c r="W109">
        <f t="shared" si="41"/>
        <v>2.0680462244708906</v>
      </c>
      <c r="X109">
        <f t="shared" si="42"/>
        <v>7.4924109144490103E-2</v>
      </c>
    </row>
    <row r="110" spans="2:24" x14ac:dyDescent="0.25">
      <c r="B110">
        <f t="shared" si="31"/>
        <v>95</v>
      </c>
      <c r="C110">
        <f t="shared" si="32"/>
        <v>164.26206882783623</v>
      </c>
      <c r="D110">
        <f t="shared" si="33"/>
        <v>1.9242135592000447</v>
      </c>
      <c r="F110">
        <f t="shared" si="29"/>
        <v>95</v>
      </c>
      <c r="G110">
        <f t="shared" si="30"/>
        <v>166.22798889392109</v>
      </c>
      <c r="H110">
        <f t="shared" si="23"/>
        <v>1.9058736369293954</v>
      </c>
      <c r="I110">
        <f t="shared" si="24"/>
        <v>168.13386253085048</v>
      </c>
      <c r="J110">
        <f t="shared" si="25"/>
        <v>1.887746108754462</v>
      </c>
      <c r="L110">
        <f t="shared" si="34"/>
        <v>95</v>
      </c>
      <c r="M110">
        <f t="shared" si="35"/>
        <v>166.30227396487066</v>
      </c>
      <c r="N110">
        <f t="shared" si="36"/>
        <v>1.9051734614594411</v>
      </c>
      <c r="O110">
        <f t="shared" si="37"/>
        <v>1.8961488695415418</v>
      </c>
      <c r="P110">
        <f t="shared" si="38"/>
        <v>1.8961918185310438</v>
      </c>
      <c r="Q110">
        <f t="shared" si="39"/>
        <v>1.887125700600937</v>
      </c>
      <c r="S110">
        <f t="shared" si="40"/>
        <v>95</v>
      </c>
      <c r="T110">
        <f t="shared" si="26"/>
        <v>164.26206882783623</v>
      </c>
      <c r="U110">
        <f t="shared" si="27"/>
        <v>166.22798889392109</v>
      </c>
      <c r="V110">
        <f t="shared" si="28"/>
        <v>166.30227396487066</v>
      </c>
      <c r="W110">
        <f t="shared" si="41"/>
        <v>2.0402051370344338</v>
      </c>
      <c r="X110">
        <f t="shared" si="42"/>
        <v>7.4285070949571264E-2</v>
      </c>
    </row>
    <row r="111" spans="2:24" x14ac:dyDescent="0.25">
      <c r="B111">
        <f t="shared" si="31"/>
        <v>96</v>
      </c>
      <c r="C111">
        <f t="shared" si="32"/>
        <v>166.18628238703627</v>
      </c>
      <c r="D111">
        <f t="shared" si="33"/>
        <v>1.9062665145381521</v>
      </c>
      <c r="F111">
        <f t="shared" si="29"/>
        <v>96</v>
      </c>
      <c r="G111">
        <f t="shared" si="30"/>
        <v>168.12479876676304</v>
      </c>
      <c r="H111">
        <f t="shared" si="23"/>
        <v>1.8878331203114809</v>
      </c>
      <c r="I111">
        <f t="shared" si="24"/>
        <v>170.01263188707452</v>
      </c>
      <c r="J111">
        <f t="shared" si="25"/>
        <v>1.8695460381030988</v>
      </c>
      <c r="L111">
        <f t="shared" si="34"/>
        <v>96</v>
      </c>
      <c r="M111">
        <f t="shared" si="35"/>
        <v>168.19843738790493</v>
      </c>
      <c r="N111">
        <f t="shared" si="36"/>
        <v>1.8871259733782069</v>
      </c>
      <c r="O111">
        <f t="shared" si="37"/>
        <v>1.8780205296489185</v>
      </c>
      <c r="P111">
        <f t="shared" si="38"/>
        <v>1.8780646612856211</v>
      </c>
      <c r="Q111">
        <f t="shared" si="39"/>
        <v>1.8689216033616143</v>
      </c>
      <c r="S111">
        <f t="shared" si="40"/>
        <v>96</v>
      </c>
      <c r="T111">
        <f t="shared" si="26"/>
        <v>166.18628238703627</v>
      </c>
      <c r="U111">
        <f t="shared" si="27"/>
        <v>168.12479876676304</v>
      </c>
      <c r="V111">
        <f t="shared" si="28"/>
        <v>168.19843738790493</v>
      </c>
      <c r="W111">
        <f t="shared" si="41"/>
        <v>2.0121550008686597</v>
      </c>
      <c r="X111">
        <f t="shared" si="42"/>
        <v>7.363862114189601E-2</v>
      </c>
    </row>
    <row r="112" spans="2:24" x14ac:dyDescent="0.25">
      <c r="B112">
        <f t="shared" si="31"/>
        <v>97</v>
      </c>
      <c r="C112">
        <f t="shared" si="32"/>
        <v>168.09254890157442</v>
      </c>
      <c r="D112">
        <f t="shared" si="33"/>
        <v>1.8881426550587341</v>
      </c>
      <c r="F112">
        <f t="shared" si="29"/>
        <v>97</v>
      </c>
      <c r="G112">
        <f t="shared" si="30"/>
        <v>170.00348834597031</v>
      </c>
      <c r="H112">
        <f t="shared" si="23"/>
        <v>1.8696354005115157</v>
      </c>
      <c r="I112">
        <f t="shared" si="24"/>
        <v>171.87312374648184</v>
      </c>
      <c r="J112">
        <f t="shared" si="25"/>
        <v>1.8512042858975917</v>
      </c>
      <c r="L112">
        <f t="shared" si="34"/>
        <v>97</v>
      </c>
      <c r="M112">
        <f t="shared" si="35"/>
        <v>170.07647371433976</v>
      </c>
      <c r="N112">
        <f t="shared" si="36"/>
        <v>1.868921880463726</v>
      </c>
      <c r="O112">
        <f t="shared" si="37"/>
        <v>1.859743378620093</v>
      </c>
      <c r="P112">
        <f t="shared" si="38"/>
        <v>1.8597886498789171</v>
      </c>
      <c r="Q112">
        <f t="shared" si="39"/>
        <v>1.8505763175306615</v>
      </c>
      <c r="S112">
        <f t="shared" si="40"/>
        <v>97</v>
      </c>
      <c r="T112">
        <f t="shared" si="26"/>
        <v>168.09254890157442</v>
      </c>
      <c r="U112">
        <f t="shared" si="27"/>
        <v>170.00348834597031</v>
      </c>
      <c r="V112">
        <f t="shared" si="28"/>
        <v>170.07647371433976</v>
      </c>
      <c r="W112">
        <f t="shared" si="41"/>
        <v>1.9839248127653377</v>
      </c>
      <c r="X112">
        <f t="shared" si="42"/>
        <v>7.2985368369444359E-2</v>
      </c>
    </row>
    <row r="113" spans="2:24" x14ac:dyDescent="0.25">
      <c r="B113">
        <f t="shared" si="31"/>
        <v>98</v>
      </c>
      <c r="C113">
        <f t="shared" si="32"/>
        <v>169.98069155663316</v>
      </c>
      <c r="D113">
        <f t="shared" si="33"/>
        <v>1.8698581666075209</v>
      </c>
      <c r="F113">
        <f t="shared" si="29"/>
        <v>98</v>
      </c>
      <c r="G113">
        <f t="shared" si="30"/>
        <v>171.86390818917488</v>
      </c>
      <c r="H113">
        <f t="shared" si="23"/>
        <v>1.851295912484634</v>
      </c>
      <c r="I113">
        <f t="shared" si="24"/>
        <v>173.71520410165951</v>
      </c>
      <c r="J113">
        <f t="shared" si="25"/>
        <v>1.8327357782544249</v>
      </c>
      <c r="L113">
        <f t="shared" si="34"/>
        <v>98</v>
      </c>
      <c r="M113">
        <f t="shared" si="35"/>
        <v>171.93623409017184</v>
      </c>
      <c r="N113">
        <f t="shared" si="36"/>
        <v>1.8505765988212217</v>
      </c>
      <c r="O113">
        <f t="shared" si="37"/>
        <v>1.8413325770918005</v>
      </c>
      <c r="P113">
        <f t="shared" si="38"/>
        <v>1.8413789443084319</v>
      </c>
      <c r="Q113">
        <f t="shared" si="39"/>
        <v>1.8321047494236833</v>
      </c>
      <c r="S113">
        <f t="shared" si="40"/>
        <v>98</v>
      </c>
      <c r="T113">
        <f t="shared" si="26"/>
        <v>169.98069155663316</v>
      </c>
      <c r="U113">
        <f t="shared" si="27"/>
        <v>171.86390818917488</v>
      </c>
      <c r="V113">
        <f t="shared" si="28"/>
        <v>171.93623409017184</v>
      </c>
      <c r="W113">
        <f t="shared" si="41"/>
        <v>1.9555425335386758</v>
      </c>
      <c r="X113">
        <f t="shared" si="42"/>
        <v>7.2325900996958126E-2</v>
      </c>
    </row>
    <row r="114" spans="2:24" x14ac:dyDescent="0.25">
      <c r="B114">
        <f t="shared" si="31"/>
        <v>99</v>
      </c>
      <c r="C114">
        <f t="shared" si="32"/>
        <v>171.85054972324068</v>
      </c>
      <c r="D114">
        <f t="shared" si="33"/>
        <v>1.851428716719582</v>
      </c>
      <c r="F114">
        <f t="shared" si="29"/>
        <v>99</v>
      </c>
      <c r="G114">
        <f t="shared" si="30"/>
        <v>173.70592403454441</v>
      </c>
      <c r="H114">
        <f t="shared" si="23"/>
        <v>1.8328295811489568</v>
      </c>
      <c r="I114">
        <f t="shared" si="24"/>
        <v>175.53875361569337</v>
      </c>
      <c r="J114">
        <f t="shared" si="25"/>
        <v>1.8141549382703772</v>
      </c>
      <c r="L114">
        <f t="shared" si="34"/>
        <v>99</v>
      </c>
      <c r="M114">
        <f t="shared" si="35"/>
        <v>173.77758482201273</v>
      </c>
      <c r="N114">
        <f t="shared" si="36"/>
        <v>1.8321050347638788</v>
      </c>
      <c r="O114">
        <f t="shared" si="37"/>
        <v>1.8228027794495114</v>
      </c>
      <c r="P114">
        <f t="shared" si="38"/>
        <v>1.8228501984759129</v>
      </c>
      <c r="Q114">
        <f t="shared" si="39"/>
        <v>1.8135213029029584</v>
      </c>
      <c r="S114">
        <f t="shared" si="40"/>
        <v>99</v>
      </c>
      <c r="T114">
        <f t="shared" si="26"/>
        <v>171.85054972324068</v>
      </c>
      <c r="U114">
        <f t="shared" si="27"/>
        <v>173.70592403454441</v>
      </c>
      <c r="V114">
        <f t="shared" si="28"/>
        <v>173.77758482201273</v>
      </c>
      <c r="W114">
        <f t="shared" si="41"/>
        <v>1.9270350987720519</v>
      </c>
      <c r="X114">
        <f t="shared" si="42"/>
        <v>7.1660787468317722E-2</v>
      </c>
    </row>
    <row r="115" spans="2:24" x14ac:dyDescent="0.25">
      <c r="B115">
        <f t="shared" si="31"/>
        <v>100</v>
      </c>
      <c r="C115">
        <f t="shared" si="32"/>
        <v>173.70197843996027</v>
      </c>
      <c r="D115">
        <f t="shared" si="33"/>
        <v>1.8328694608815848</v>
      </c>
      <c r="F115">
        <f t="shared" si="29"/>
        <v>100</v>
      </c>
      <c r="G115">
        <f t="shared" si="30"/>
        <v>175.52941629425408</v>
      </c>
      <c r="H115">
        <f t="shared" si="23"/>
        <v>1.8142508287079624</v>
      </c>
      <c r="I115">
        <f t="shared" si="24"/>
        <v>177.34366712296205</v>
      </c>
      <c r="J115">
        <f t="shared" si="25"/>
        <v>1.7954756937535645</v>
      </c>
      <c r="L115">
        <f t="shared" si="34"/>
        <v>100</v>
      </c>
      <c r="M115">
        <f t="shared" si="35"/>
        <v>175.60040687093235</v>
      </c>
      <c r="N115">
        <f t="shared" si="36"/>
        <v>1.813521592151641</v>
      </c>
      <c r="O115">
        <f t="shared" si="37"/>
        <v>1.8041681413697777</v>
      </c>
      <c r="P115">
        <f t="shared" si="38"/>
        <v>1.8042165677182869</v>
      </c>
      <c r="Q115">
        <f t="shared" si="39"/>
        <v>1.794839887100576</v>
      </c>
      <c r="S115">
        <f t="shared" si="40"/>
        <v>100</v>
      </c>
      <c r="T115">
        <f t="shared" si="26"/>
        <v>173.70197843996027</v>
      </c>
      <c r="U115">
        <f t="shared" si="27"/>
        <v>175.52941629425408</v>
      </c>
      <c r="V115">
        <f t="shared" si="28"/>
        <v>175.60040687093235</v>
      </c>
      <c r="W115">
        <f t="shared" si="41"/>
        <v>1.8984284309720749</v>
      </c>
      <c r="X115">
        <f t="shared" si="42"/>
        <v>7.099057667826969E-2</v>
      </c>
    </row>
    <row r="116" spans="2:24" x14ac:dyDescent="0.25">
      <c r="B116">
        <f t="shared" si="31"/>
        <v>101</v>
      </c>
      <c r="C116">
        <f t="shared" si="32"/>
        <v>175.53484790084187</v>
      </c>
      <c r="D116">
        <f t="shared" si="33"/>
        <v>1.8141950492838117</v>
      </c>
      <c r="F116">
        <f t="shared" si="29"/>
        <v>101</v>
      </c>
      <c r="G116">
        <f t="shared" si="30"/>
        <v>177.33427955548484</v>
      </c>
      <c r="H116">
        <f t="shared" si="23"/>
        <v>1.7955735823591132</v>
      </c>
      <c r="I116">
        <f t="shared" si="24"/>
        <v>179.12985313784395</v>
      </c>
      <c r="J116">
        <f t="shared" si="25"/>
        <v>1.7767114852957717</v>
      </c>
      <c r="L116">
        <f t="shared" si="34"/>
        <v>101</v>
      </c>
      <c r="M116">
        <f t="shared" si="35"/>
        <v>177.40459535383707</v>
      </c>
      <c r="N116">
        <f t="shared" si="36"/>
        <v>1.7948401801143978</v>
      </c>
      <c r="O116">
        <f t="shared" si="37"/>
        <v>1.7854423277244769</v>
      </c>
      <c r="P116">
        <f t="shared" si="38"/>
        <v>1.7854917167011013</v>
      </c>
      <c r="Q116">
        <f t="shared" si="39"/>
        <v>1.7760739244823671</v>
      </c>
      <c r="S116">
        <f t="shared" si="40"/>
        <v>101</v>
      </c>
      <c r="T116">
        <f t="shared" si="26"/>
        <v>175.53484790084187</v>
      </c>
      <c r="U116">
        <f t="shared" si="27"/>
        <v>177.33427955548484</v>
      </c>
      <c r="V116">
        <f t="shared" si="28"/>
        <v>177.40459535383707</v>
      </c>
      <c r="W116">
        <f t="shared" si="41"/>
        <v>1.869747452995199</v>
      </c>
      <c r="X116">
        <f t="shared" si="42"/>
        <v>7.0315798352226011E-2</v>
      </c>
    </row>
    <row r="117" spans="2:24" x14ac:dyDescent="0.25">
      <c r="B117">
        <f t="shared" si="31"/>
        <v>102</v>
      </c>
      <c r="C117">
        <f t="shared" si="32"/>
        <v>177.34904295012569</v>
      </c>
      <c r="D117">
        <f t="shared" si="33"/>
        <v>1.7954196340123298</v>
      </c>
      <c r="F117">
        <f t="shared" si="29"/>
        <v>102</v>
      </c>
      <c r="G117">
        <f t="shared" si="30"/>
        <v>179.12042208931229</v>
      </c>
      <c r="H117">
        <f t="shared" si="23"/>
        <v>1.7768112823449183</v>
      </c>
      <c r="I117">
        <f t="shared" si="24"/>
        <v>180.89723337165719</v>
      </c>
      <c r="J117">
        <f t="shared" si="25"/>
        <v>1.7578752746451305</v>
      </c>
      <c r="L117">
        <f t="shared" si="34"/>
        <v>102</v>
      </c>
      <c r="M117">
        <f t="shared" si="35"/>
        <v>179.19005905274506</v>
      </c>
      <c r="N117">
        <f t="shared" si="36"/>
        <v>1.7760742211159357</v>
      </c>
      <c r="O117">
        <f t="shared" si="37"/>
        <v>1.766638520804775</v>
      </c>
      <c r="P117">
        <f t="shared" si="38"/>
        <v>1.7666888276322505</v>
      </c>
      <c r="Q117">
        <f t="shared" si="39"/>
        <v>1.7572363592116724</v>
      </c>
      <c r="S117">
        <f t="shared" si="40"/>
        <v>102</v>
      </c>
      <c r="T117">
        <f t="shared" si="26"/>
        <v>177.34904295012569</v>
      </c>
      <c r="U117">
        <f t="shared" si="27"/>
        <v>179.12042208931229</v>
      </c>
      <c r="V117">
        <f t="shared" si="28"/>
        <v>179.19005905274506</v>
      </c>
      <c r="W117">
        <f t="shared" si="41"/>
        <v>1.8410161026193634</v>
      </c>
      <c r="X117">
        <f t="shared" si="42"/>
        <v>6.9636963432770926E-2</v>
      </c>
    </row>
    <row r="118" spans="2:24" x14ac:dyDescent="0.25">
      <c r="B118">
        <f t="shared" si="31"/>
        <v>103</v>
      </c>
      <c r="C118">
        <f t="shared" si="32"/>
        <v>179.14446258413801</v>
      </c>
      <c r="D118">
        <f t="shared" si="33"/>
        <v>1.7765568766347464</v>
      </c>
      <c r="F118">
        <f t="shared" si="29"/>
        <v>103</v>
      </c>
      <c r="G118">
        <f t="shared" si="30"/>
        <v>180.8877653678073</v>
      </c>
      <c r="H118">
        <f t="shared" si="23"/>
        <v>1.7579768903054767</v>
      </c>
      <c r="I118">
        <f t="shared" si="24"/>
        <v>182.64574225811279</v>
      </c>
      <c r="J118">
        <f t="shared" si="25"/>
        <v>1.738979553340664</v>
      </c>
      <c r="L118">
        <f t="shared" si="34"/>
        <v>103</v>
      </c>
      <c r="M118">
        <f t="shared" si="35"/>
        <v>180.95671993227867</v>
      </c>
      <c r="N118">
        <f t="shared" si="36"/>
        <v>1.7572366593177362</v>
      </c>
      <c r="O118">
        <f t="shared" si="37"/>
        <v>1.7477694288251542</v>
      </c>
      <c r="P118">
        <f t="shared" si="38"/>
        <v>1.7478206087563182</v>
      </c>
      <c r="Q118">
        <f t="shared" si="39"/>
        <v>1.7383396657746031</v>
      </c>
      <c r="S118">
        <f t="shared" si="40"/>
        <v>103</v>
      </c>
      <c r="T118">
        <f t="shared" si="26"/>
        <v>179.14446258413801</v>
      </c>
      <c r="U118">
        <f t="shared" si="27"/>
        <v>180.8877653678073</v>
      </c>
      <c r="V118">
        <f t="shared" si="28"/>
        <v>180.95671993227867</v>
      </c>
      <c r="W118">
        <f t="shared" si="41"/>
        <v>1.8122573481406619</v>
      </c>
      <c r="X118">
        <f t="shared" si="42"/>
        <v>6.895456447136894E-2</v>
      </c>
    </row>
    <row r="119" spans="2:24" x14ac:dyDescent="0.25">
      <c r="B119">
        <f t="shared" si="31"/>
        <v>104</v>
      </c>
      <c r="C119">
        <f t="shared" si="32"/>
        <v>180.92101946077275</v>
      </c>
      <c r="D119">
        <f t="shared" si="33"/>
        <v>1.757619956135573</v>
      </c>
      <c r="F119">
        <f t="shared" si="29"/>
        <v>104</v>
      </c>
      <c r="G119">
        <f t="shared" si="30"/>
        <v>182.63624358963037</v>
      </c>
      <c r="H119">
        <f t="shared" si="23"/>
        <v>1.7390828978939741</v>
      </c>
      <c r="I119">
        <f t="shared" si="24"/>
        <v>184.37532648752435</v>
      </c>
      <c r="J119">
        <f t="shared" si="25"/>
        <v>1.7200363515727526</v>
      </c>
      <c r="L119">
        <f t="shared" si="34"/>
        <v>104</v>
      </c>
      <c r="M119">
        <f t="shared" si="35"/>
        <v>182.70451266565456</v>
      </c>
      <c r="N119">
        <f t="shared" si="36"/>
        <v>1.738339969204266</v>
      </c>
      <c r="O119">
        <f t="shared" si="37"/>
        <v>1.7288472946703912</v>
      </c>
      <c r="P119">
        <f t="shared" si="38"/>
        <v>1.7288993030923905</v>
      </c>
      <c r="Q119">
        <f t="shared" si="39"/>
        <v>1.7193958578308719</v>
      </c>
      <c r="S119">
        <f t="shared" si="40"/>
        <v>104</v>
      </c>
      <c r="T119">
        <f t="shared" si="26"/>
        <v>180.92101946077275</v>
      </c>
      <c r="U119">
        <f t="shared" si="27"/>
        <v>182.63624358963037</v>
      </c>
      <c r="V119">
        <f t="shared" si="28"/>
        <v>182.70451266565456</v>
      </c>
      <c r="W119">
        <f t="shared" si="41"/>
        <v>1.7834932048818075</v>
      </c>
      <c r="X119">
        <f t="shared" si="42"/>
        <v>6.8269076024193964E-2</v>
      </c>
    </row>
    <row r="120" spans="2:24" x14ac:dyDescent="0.25">
      <c r="B120">
        <f t="shared" si="31"/>
        <v>105</v>
      </c>
      <c r="C120">
        <f t="shared" si="32"/>
        <v>182.67863941690834</v>
      </c>
      <c r="D120">
        <f t="shared" si="33"/>
        <v>1.7386215771600555</v>
      </c>
      <c r="F120">
        <f t="shared" si="29"/>
        <v>105</v>
      </c>
      <c r="G120">
        <f t="shared" si="30"/>
        <v>184.36580321436372</v>
      </c>
      <c r="H120">
        <f t="shared" si="23"/>
        <v>1.7201413356191155</v>
      </c>
      <c r="I120">
        <f t="shared" si="24"/>
        <v>186.08594454998283</v>
      </c>
      <c r="J120">
        <f t="shared" si="25"/>
        <v>1.7010572472358401</v>
      </c>
      <c r="L120">
        <f t="shared" si="34"/>
        <v>105</v>
      </c>
      <c r="M120">
        <f t="shared" si="35"/>
        <v>184.43338416941467</v>
      </c>
      <c r="N120">
        <f t="shared" si="36"/>
        <v>1.7193961644337916</v>
      </c>
      <c r="O120">
        <f t="shared" si="37"/>
        <v>1.7098839048507666</v>
      </c>
      <c r="P120">
        <f t="shared" si="38"/>
        <v>1.7099366973806385</v>
      </c>
      <c r="Q120">
        <f t="shared" si="39"/>
        <v>1.7004164972565798</v>
      </c>
      <c r="S120">
        <f t="shared" si="40"/>
        <v>105</v>
      </c>
      <c r="T120">
        <f t="shared" si="26"/>
        <v>182.67863941690834</v>
      </c>
      <c r="U120">
        <f t="shared" si="27"/>
        <v>184.36580321436372</v>
      </c>
      <c r="V120">
        <f t="shared" si="28"/>
        <v>184.43338416941467</v>
      </c>
      <c r="W120">
        <f t="shared" si="41"/>
        <v>1.7547447525063262</v>
      </c>
      <c r="X120">
        <f t="shared" si="42"/>
        <v>6.7580955050942748E-2</v>
      </c>
    </row>
    <row r="121" spans="2:24" x14ac:dyDescent="0.25">
      <c r="B121">
        <f t="shared" si="31"/>
        <v>106</v>
      </c>
      <c r="C121">
        <f t="shared" si="32"/>
        <v>184.41726099406839</v>
      </c>
      <c r="D121">
        <f t="shared" si="33"/>
        <v>1.7195739785277153</v>
      </c>
      <c r="F121">
        <f t="shared" si="29"/>
        <v>106</v>
      </c>
      <c r="G121">
        <f t="shared" si="30"/>
        <v>186.07640250579121</v>
      </c>
      <c r="H121">
        <f t="shared" si="23"/>
        <v>1.7011637818808321</v>
      </c>
      <c r="I121">
        <f t="shared" si="24"/>
        <v>187.77756628767204</v>
      </c>
      <c r="J121">
        <f t="shared" si="25"/>
        <v>1.6820533751419735</v>
      </c>
      <c r="L121">
        <f t="shared" si="34"/>
        <v>106</v>
      </c>
      <c r="M121">
        <f t="shared" si="35"/>
        <v>186.14329314710687</v>
      </c>
      <c r="N121">
        <f t="shared" si="36"/>
        <v>1.7004168068812164</v>
      </c>
      <c r="O121">
        <f t="shared" si="37"/>
        <v>1.6908905986330354</v>
      </c>
      <c r="P121">
        <f t="shared" si="38"/>
        <v>1.6909441312051019</v>
      </c>
      <c r="Q121">
        <f t="shared" si="39"/>
        <v>1.681412703347601</v>
      </c>
      <c r="S121">
        <f t="shared" si="40"/>
        <v>106</v>
      </c>
      <c r="T121">
        <f t="shared" si="26"/>
        <v>184.41726099406839</v>
      </c>
      <c r="U121">
        <f t="shared" si="27"/>
        <v>186.07640250579121</v>
      </c>
      <c r="V121">
        <f t="shared" si="28"/>
        <v>186.14329314710687</v>
      </c>
      <c r="W121">
        <f t="shared" si="41"/>
        <v>1.7260321530384886</v>
      </c>
      <c r="X121">
        <f t="shared" si="42"/>
        <v>6.6890641315666244E-2</v>
      </c>
    </row>
    <row r="122" spans="2:24" x14ac:dyDescent="0.25">
      <c r="B122">
        <f t="shared" si="31"/>
        <v>107</v>
      </c>
      <c r="C122">
        <f t="shared" si="32"/>
        <v>186.13683497259609</v>
      </c>
      <c r="D122">
        <f t="shared" si="33"/>
        <v>1.7004889419793197</v>
      </c>
      <c r="F122">
        <f t="shared" si="29"/>
        <v>107</v>
      </c>
      <c r="G122">
        <f t="shared" si="30"/>
        <v>187.7680110843026</v>
      </c>
      <c r="H122">
        <f t="shared" si="23"/>
        <v>1.6821613721677435</v>
      </c>
      <c r="I122">
        <f t="shared" si="24"/>
        <v>189.45017245647034</v>
      </c>
      <c r="J122">
        <f t="shared" si="25"/>
        <v>1.6630354363658535</v>
      </c>
      <c r="L122">
        <f t="shared" si="34"/>
        <v>107</v>
      </c>
      <c r="M122">
        <f t="shared" si="35"/>
        <v>187.83420964209105</v>
      </c>
      <c r="N122">
        <f t="shared" si="36"/>
        <v>1.6814130158414469</v>
      </c>
      <c r="O122">
        <f t="shared" si="37"/>
        <v>1.6718782773168634</v>
      </c>
      <c r="P122">
        <f t="shared" si="38"/>
        <v>1.6719325062624502</v>
      </c>
      <c r="Q122">
        <f t="shared" si="39"/>
        <v>1.6623951621543021</v>
      </c>
      <c r="S122">
        <f t="shared" si="40"/>
        <v>107</v>
      </c>
      <c r="T122">
        <f t="shared" si="26"/>
        <v>186.13683497259609</v>
      </c>
      <c r="U122">
        <f t="shared" si="27"/>
        <v>187.7680110843026</v>
      </c>
      <c r="V122">
        <f t="shared" si="28"/>
        <v>187.83420964209105</v>
      </c>
      <c r="W122">
        <f t="shared" si="41"/>
        <v>1.6973746694949625</v>
      </c>
      <c r="X122">
        <f t="shared" si="42"/>
        <v>6.6198557788453627E-2</v>
      </c>
    </row>
    <row r="123" spans="2:24" x14ac:dyDescent="0.25">
      <c r="B123">
        <f t="shared" si="31"/>
        <v>108</v>
      </c>
      <c r="C123">
        <f t="shared" si="32"/>
        <v>187.83732391457542</v>
      </c>
      <c r="D123">
        <f t="shared" si="33"/>
        <v>1.6813778011233647</v>
      </c>
      <c r="F123">
        <f t="shared" si="29"/>
        <v>108</v>
      </c>
      <c r="G123">
        <f t="shared" si="30"/>
        <v>189.44060948856941</v>
      </c>
      <c r="H123">
        <f t="shared" si="23"/>
        <v>1.6631448083870763</v>
      </c>
      <c r="I123">
        <f t="shared" si="24"/>
        <v>191.10375429695648</v>
      </c>
      <c r="J123">
        <f t="shared" si="25"/>
        <v>1.6440137076940793</v>
      </c>
      <c r="L123">
        <f t="shared" si="34"/>
        <v>108</v>
      </c>
      <c r="M123">
        <f t="shared" si="35"/>
        <v>189.50611459961678</v>
      </c>
      <c r="N123">
        <f t="shared" si="36"/>
        <v>1.6623954773641201</v>
      </c>
      <c r="O123">
        <f t="shared" si="37"/>
        <v>1.6528574136284693</v>
      </c>
      <c r="P123">
        <f t="shared" si="38"/>
        <v>1.6529122957483675</v>
      </c>
      <c r="Q123">
        <f t="shared" si="39"/>
        <v>1.6433741359202969</v>
      </c>
      <c r="S123">
        <f t="shared" si="40"/>
        <v>108</v>
      </c>
      <c r="T123">
        <f t="shared" si="26"/>
        <v>187.83732391457542</v>
      </c>
      <c r="U123">
        <f t="shared" si="27"/>
        <v>189.44060948856941</v>
      </c>
      <c r="V123">
        <f t="shared" si="28"/>
        <v>189.50611459961678</v>
      </c>
      <c r="W123">
        <f t="shared" si="41"/>
        <v>1.6687906850413583</v>
      </c>
      <c r="X123">
        <f t="shared" si="42"/>
        <v>6.5505111047372111E-2</v>
      </c>
    </row>
    <row r="124" spans="2:24" x14ac:dyDescent="0.25">
      <c r="B124">
        <f t="shared" si="31"/>
        <v>109</v>
      </c>
      <c r="C124">
        <f t="shared" si="32"/>
        <v>189.5187017156988</v>
      </c>
      <c r="D124">
        <f t="shared" si="33"/>
        <v>1.6622514505502588</v>
      </c>
      <c r="F124">
        <f t="shared" si="29"/>
        <v>109</v>
      </c>
      <c r="G124">
        <f t="shared" si="30"/>
        <v>191.09418874660997</v>
      </c>
      <c r="H124">
        <f t="shared" si="23"/>
        <v>1.6441243682996349</v>
      </c>
      <c r="I124">
        <f t="shared" si="24"/>
        <v>192.7383131149096</v>
      </c>
      <c r="J124">
        <f t="shared" si="25"/>
        <v>1.6249980511532156</v>
      </c>
      <c r="L124">
        <f t="shared" si="34"/>
        <v>109</v>
      </c>
      <c r="M124">
        <f t="shared" si="35"/>
        <v>191.15899943828978</v>
      </c>
      <c r="N124">
        <f t="shared" si="36"/>
        <v>1.6433744536923716</v>
      </c>
      <c r="O124">
        <f t="shared" si="37"/>
        <v>1.633838061205225</v>
      </c>
      <c r="P124">
        <f t="shared" si="38"/>
        <v>1.6338935538353307</v>
      </c>
      <c r="Q124">
        <f t="shared" si="39"/>
        <v>1.624359472599928</v>
      </c>
      <c r="S124">
        <f t="shared" si="40"/>
        <v>109</v>
      </c>
      <c r="T124">
        <f t="shared" si="26"/>
        <v>189.5187017156988</v>
      </c>
      <c r="U124">
        <f t="shared" si="27"/>
        <v>191.09418874660997</v>
      </c>
      <c r="V124">
        <f t="shared" si="28"/>
        <v>191.15899943828978</v>
      </c>
      <c r="W124">
        <f t="shared" si="41"/>
        <v>1.6402977225909865</v>
      </c>
      <c r="X124">
        <f t="shared" si="42"/>
        <v>6.4810691679809906E-2</v>
      </c>
    </row>
    <row r="125" spans="2:24" x14ac:dyDescent="0.25">
      <c r="B125">
        <f t="shared" si="31"/>
        <v>110</v>
      </c>
      <c r="C125">
        <f t="shared" si="32"/>
        <v>191.18095316624905</v>
      </c>
      <c r="D125">
        <f t="shared" si="33"/>
        <v>1.6431203550845979</v>
      </c>
      <c r="F125">
        <f t="shared" si="29"/>
        <v>110</v>
      </c>
      <c r="G125">
        <f t="shared" si="30"/>
        <v>192.7287499563364</v>
      </c>
      <c r="H125">
        <f t="shared" si="23"/>
        <v>1.6251099150344626</v>
      </c>
      <c r="I125">
        <f t="shared" si="24"/>
        <v>194.35385987137087</v>
      </c>
      <c r="J125">
        <f t="shared" si="25"/>
        <v>1.6059979235930775</v>
      </c>
      <c r="L125">
        <f t="shared" si="34"/>
        <v>110</v>
      </c>
      <c r="M125">
        <f t="shared" si="35"/>
        <v>192.79286563101869</v>
      </c>
      <c r="N125">
        <f t="shared" si="36"/>
        <v>1.6243597927803026</v>
      </c>
      <c r="O125">
        <f t="shared" si="37"/>
        <v>1.6148298641467242</v>
      </c>
      <c r="P125">
        <f t="shared" si="38"/>
        <v>1.6148859252172734</v>
      </c>
      <c r="Q125">
        <f t="shared" si="39"/>
        <v>1.6053606154308837</v>
      </c>
      <c r="S125">
        <f t="shared" si="40"/>
        <v>110</v>
      </c>
      <c r="T125">
        <f t="shared" si="26"/>
        <v>191.18095316624905</v>
      </c>
      <c r="U125">
        <f t="shared" si="27"/>
        <v>192.7287499563364</v>
      </c>
      <c r="V125">
        <f t="shared" si="28"/>
        <v>192.79286563101869</v>
      </c>
      <c r="W125">
        <f t="shared" si="41"/>
        <v>1.611912464769631</v>
      </c>
      <c r="X125">
        <f t="shared" si="42"/>
        <v>6.4115674682284407E-2</v>
      </c>
    </row>
    <row r="126" spans="2:24" x14ac:dyDescent="0.25">
      <c r="B126">
        <f t="shared" si="31"/>
        <v>111</v>
      </c>
      <c r="C126">
        <f t="shared" si="32"/>
        <v>192.82407352133364</v>
      </c>
      <c r="D126">
        <f t="shared" si="33"/>
        <v>1.6239945591478535</v>
      </c>
      <c r="F126">
        <f t="shared" si="29"/>
        <v>111</v>
      </c>
      <c r="G126">
        <f t="shared" si="30"/>
        <v>194.34430387565018</v>
      </c>
      <c r="H126">
        <f t="shared" si="23"/>
        <v>1.606110906659481</v>
      </c>
      <c r="I126">
        <f t="shared" si="24"/>
        <v>195.95041478230968</v>
      </c>
      <c r="J126">
        <f t="shared" si="25"/>
        <v>1.5870223863033814</v>
      </c>
      <c r="L126">
        <f t="shared" si="34"/>
        <v>111</v>
      </c>
      <c r="M126">
        <f t="shared" si="35"/>
        <v>194.40772429550856</v>
      </c>
      <c r="N126">
        <f t="shared" si="36"/>
        <v>1.6053609378656051</v>
      </c>
      <c r="O126">
        <f t="shared" si="37"/>
        <v>1.5958420666097144</v>
      </c>
      <c r="P126">
        <f t="shared" si="38"/>
        <v>1.5958986546984955</v>
      </c>
      <c r="Q126">
        <f t="shared" si="39"/>
        <v>1.58638661254015</v>
      </c>
      <c r="S126">
        <f t="shared" si="40"/>
        <v>111</v>
      </c>
      <c r="T126">
        <f t="shared" si="26"/>
        <v>192.82407352133364</v>
      </c>
      <c r="U126">
        <f t="shared" si="27"/>
        <v>194.34430387565018</v>
      </c>
      <c r="V126">
        <f t="shared" si="28"/>
        <v>194.40772429550856</v>
      </c>
      <c r="W126">
        <f t="shared" si="41"/>
        <v>1.5836507741749131</v>
      </c>
      <c r="X126">
        <f t="shared" si="42"/>
        <v>6.3420419858374544E-2</v>
      </c>
    </row>
    <row r="127" spans="2:24" x14ac:dyDescent="0.25">
      <c r="B127">
        <f t="shared" si="31"/>
        <v>112</v>
      </c>
      <c r="C127">
        <f t="shared" si="32"/>
        <v>194.44806808048151</v>
      </c>
      <c r="D127">
        <f t="shared" si="33"/>
        <v>1.6048836962057569</v>
      </c>
      <c r="F127">
        <f t="shared" si="29"/>
        <v>112</v>
      </c>
      <c r="G127">
        <f t="shared" si="30"/>
        <v>195.9408705221316</v>
      </c>
      <c r="H127">
        <f t="shared" si="23"/>
        <v>1.5871364057862918</v>
      </c>
      <c r="I127">
        <f t="shared" si="24"/>
        <v>197.52800692791789</v>
      </c>
      <c r="J127">
        <f t="shared" si="25"/>
        <v>1.5680801146434988</v>
      </c>
      <c r="L127">
        <f t="shared" si="34"/>
        <v>112</v>
      </c>
      <c r="M127">
        <f t="shared" si="35"/>
        <v>196.00359579434559</v>
      </c>
      <c r="N127">
        <f t="shared" si="36"/>
        <v>1.5863869370754982</v>
      </c>
      <c r="O127">
        <f t="shared" si="37"/>
        <v>1.5768835224258362</v>
      </c>
      <c r="P127">
        <f t="shared" si="38"/>
        <v>1.5769405968057337</v>
      </c>
      <c r="Q127">
        <f t="shared" si="39"/>
        <v>1.5674461265630473</v>
      </c>
      <c r="S127">
        <f t="shared" si="40"/>
        <v>112</v>
      </c>
      <c r="T127">
        <f t="shared" si="26"/>
        <v>194.44806808048151</v>
      </c>
      <c r="U127">
        <f t="shared" si="27"/>
        <v>195.9408705221316</v>
      </c>
      <c r="V127">
        <f t="shared" si="28"/>
        <v>196.00359579434559</v>
      </c>
      <c r="W127">
        <f t="shared" si="41"/>
        <v>1.5555277138640804</v>
      </c>
      <c r="X127">
        <f t="shared" si="42"/>
        <v>6.2725272213981498E-2</v>
      </c>
    </row>
    <row r="128" spans="2:24" x14ac:dyDescent="0.25">
      <c r="B128">
        <f t="shared" si="31"/>
        <v>113</v>
      </c>
      <c r="C128">
        <f t="shared" si="32"/>
        <v>196.05295177668725</v>
      </c>
      <c r="D128">
        <f t="shared" si="33"/>
        <v>1.5857969982764113</v>
      </c>
      <c r="F128">
        <f t="shared" si="29"/>
        <v>113</v>
      </c>
      <c r="G128">
        <f t="shared" si="30"/>
        <v>197.51847878234651</v>
      </c>
      <c r="H128">
        <f t="shared" si="23"/>
        <v>1.568195089188819</v>
      </c>
      <c r="I128">
        <f t="shared" si="24"/>
        <v>199.08667387153531</v>
      </c>
      <c r="J128">
        <f t="shared" si="25"/>
        <v>1.5491794076666561</v>
      </c>
      <c r="L128">
        <f t="shared" si="34"/>
        <v>113</v>
      </c>
      <c r="M128">
        <f t="shared" si="35"/>
        <v>197.58050934469586</v>
      </c>
      <c r="N128">
        <f t="shared" si="36"/>
        <v>1.5674464530457815</v>
      </c>
      <c r="O128">
        <f t="shared" si="37"/>
        <v>1.5579627047227744</v>
      </c>
      <c r="P128">
        <f t="shared" si="38"/>
        <v>1.5580202254040312</v>
      </c>
      <c r="Q128">
        <f t="shared" si="39"/>
        <v>1.5485474442567377</v>
      </c>
      <c r="S128">
        <f t="shared" si="40"/>
        <v>113</v>
      </c>
      <c r="T128">
        <f t="shared" si="26"/>
        <v>196.05295177668725</v>
      </c>
      <c r="U128">
        <f t="shared" si="27"/>
        <v>197.51847878234651</v>
      </c>
      <c r="V128">
        <f t="shared" si="28"/>
        <v>197.58050934469586</v>
      </c>
      <c r="W128">
        <f t="shared" si="41"/>
        <v>1.5275575680086035</v>
      </c>
      <c r="X128">
        <f t="shared" si="42"/>
        <v>6.2030562349349339E-2</v>
      </c>
    </row>
    <row r="129" spans="2:24" x14ac:dyDescent="0.25">
      <c r="B129">
        <f t="shared" si="31"/>
        <v>114</v>
      </c>
      <c r="C129">
        <f t="shared" si="32"/>
        <v>197.63874877496366</v>
      </c>
      <c r="D129">
        <f t="shared" si="33"/>
        <v>1.566743305476971</v>
      </c>
      <c r="F129">
        <f t="shared" si="29"/>
        <v>114</v>
      </c>
      <c r="G129">
        <f t="shared" si="30"/>
        <v>199.07716603077424</v>
      </c>
      <c r="H129">
        <f t="shared" si="23"/>
        <v>1.5492952574170658</v>
      </c>
      <c r="I129">
        <f t="shared" si="24"/>
        <v>200.62646128819131</v>
      </c>
      <c r="J129">
        <f t="shared" si="25"/>
        <v>1.530328197721305</v>
      </c>
      <c r="L129">
        <f t="shared" si="34"/>
        <v>114</v>
      </c>
      <c r="M129">
        <f t="shared" si="35"/>
        <v>199.13850263762188</v>
      </c>
      <c r="N129">
        <f t="shared" si="36"/>
        <v>1.5485477725343022</v>
      </c>
      <c r="O129">
        <f t="shared" si="37"/>
        <v>1.5390877155308962</v>
      </c>
      <c r="P129">
        <f t="shared" si="38"/>
        <v>1.5391456432984139</v>
      </c>
      <c r="Q129">
        <f t="shared" si="39"/>
        <v>1.5296984860909317</v>
      </c>
      <c r="S129">
        <f t="shared" si="40"/>
        <v>114</v>
      </c>
      <c r="T129">
        <f t="shared" si="26"/>
        <v>197.63874877496366</v>
      </c>
      <c r="U129">
        <f t="shared" si="27"/>
        <v>199.07716603077424</v>
      </c>
      <c r="V129">
        <f t="shared" si="28"/>
        <v>199.13850263762188</v>
      </c>
      <c r="W129">
        <f t="shared" si="41"/>
        <v>1.4997538626582241</v>
      </c>
      <c r="X129">
        <f t="shared" si="42"/>
        <v>6.1336606847646635E-2</v>
      </c>
    </row>
    <row r="130" spans="2:24" x14ac:dyDescent="0.25">
      <c r="B130">
        <f t="shared" si="31"/>
        <v>115</v>
      </c>
      <c r="C130">
        <f t="shared" si="32"/>
        <v>199.20549208044062</v>
      </c>
      <c r="D130">
        <f t="shared" si="33"/>
        <v>1.5477310755882667</v>
      </c>
      <c r="F130">
        <f t="shared" si="29"/>
        <v>115</v>
      </c>
      <c r="G130">
        <f t="shared" si="30"/>
        <v>200.61697775834341</v>
      </c>
      <c r="H130">
        <f t="shared" si="23"/>
        <v>1.5304448443887235</v>
      </c>
      <c r="I130">
        <f t="shared" si="24"/>
        <v>202.14742260273212</v>
      </c>
      <c r="J130">
        <f t="shared" si="25"/>
        <v>1.5115340600138283</v>
      </c>
      <c r="L130">
        <f t="shared" si="34"/>
        <v>115</v>
      </c>
      <c r="M130">
        <f t="shared" si="35"/>
        <v>200.67762146700252</v>
      </c>
      <c r="N130">
        <f t="shared" si="36"/>
        <v>1.5296988160116796</v>
      </c>
      <c r="O130">
        <f t="shared" si="37"/>
        <v>1.5202662953588713</v>
      </c>
      <c r="P130">
        <f t="shared" si="38"/>
        <v>1.5203245918048622</v>
      </c>
      <c r="Q130">
        <f t="shared" si="39"/>
        <v>1.510906815799985</v>
      </c>
      <c r="S130">
        <f t="shared" si="40"/>
        <v>115</v>
      </c>
      <c r="T130">
        <f t="shared" si="26"/>
        <v>199.20549208044062</v>
      </c>
      <c r="U130">
        <f t="shared" si="27"/>
        <v>200.61697775834341</v>
      </c>
      <c r="V130">
        <f t="shared" si="28"/>
        <v>200.67762146700252</v>
      </c>
      <c r="W130">
        <f t="shared" si="41"/>
        <v>1.4721293865619032</v>
      </c>
      <c r="X130">
        <f t="shared" si="42"/>
        <v>6.0643708659114282E-2</v>
      </c>
    </row>
    <row r="131" spans="2:24" x14ac:dyDescent="0.25">
      <c r="B131">
        <f t="shared" si="31"/>
        <v>116</v>
      </c>
      <c r="C131">
        <f t="shared" si="32"/>
        <v>200.75322315602889</v>
      </c>
      <c r="D131">
        <f t="shared" si="33"/>
        <v>1.528768393618372</v>
      </c>
      <c r="F131">
        <f t="shared" si="29"/>
        <v>116</v>
      </c>
      <c r="G131">
        <f t="shared" si="30"/>
        <v>202.13796721054467</v>
      </c>
      <c r="H131">
        <f t="shared" si="23"/>
        <v>1.5116514269427472</v>
      </c>
      <c r="I131">
        <f t="shared" si="24"/>
        <v>203.64961863748741</v>
      </c>
      <c r="J131">
        <f t="shared" si="25"/>
        <v>1.4928042221180016</v>
      </c>
      <c r="L131">
        <f t="shared" si="34"/>
        <v>116</v>
      </c>
      <c r="M131">
        <f t="shared" si="35"/>
        <v>202.19791936802571</v>
      </c>
      <c r="N131">
        <f t="shared" si="36"/>
        <v>1.5109071472133875</v>
      </c>
      <c r="O131">
        <f t="shared" si="37"/>
        <v>1.5015058327230832</v>
      </c>
      <c r="P131">
        <f t="shared" si="38"/>
        <v>1.5015644602753837</v>
      </c>
      <c r="Q131">
        <f t="shared" si="39"/>
        <v>1.4921796498818463</v>
      </c>
      <c r="S131">
        <f t="shared" si="40"/>
        <v>116</v>
      </c>
      <c r="T131">
        <f t="shared" si="26"/>
        <v>200.75322315602889</v>
      </c>
      <c r="U131">
        <f t="shared" si="27"/>
        <v>202.13796721054467</v>
      </c>
      <c r="V131">
        <f t="shared" si="28"/>
        <v>202.19791936802571</v>
      </c>
      <c r="W131">
        <f t="shared" si="41"/>
        <v>1.4446962119968134</v>
      </c>
      <c r="X131">
        <f t="shared" si="42"/>
        <v>5.9952157481035329E-2</v>
      </c>
    </row>
    <row r="132" spans="2:24" x14ac:dyDescent="0.25">
      <c r="B132">
        <f t="shared" si="31"/>
        <v>117</v>
      </c>
      <c r="C132">
        <f t="shared" si="32"/>
        <v>202.28199154964727</v>
      </c>
      <c r="D132">
        <f t="shared" si="33"/>
        <v>1.509862981347539</v>
      </c>
      <c r="F132">
        <f t="shared" si="29"/>
        <v>117</v>
      </c>
      <c r="G132">
        <f t="shared" si="30"/>
        <v>203.64019503507504</v>
      </c>
      <c r="H132">
        <f t="shared" si="23"/>
        <v>1.4929222343402877</v>
      </c>
      <c r="I132">
        <f t="shared" si="24"/>
        <v>205.13311726941532</v>
      </c>
      <c r="J132">
        <f t="shared" si="25"/>
        <v>1.4741455734179212</v>
      </c>
      <c r="L132">
        <f t="shared" si="34"/>
        <v>117</v>
      </c>
      <c r="M132">
        <f t="shared" si="35"/>
        <v>203.69945726520774</v>
      </c>
      <c r="N132">
        <f t="shared" si="36"/>
        <v>1.4921799826386912</v>
      </c>
      <c r="O132">
        <f t="shared" si="37"/>
        <v>1.4828133736169462</v>
      </c>
      <c r="P132">
        <f t="shared" si="38"/>
        <v>1.4828722955633042</v>
      </c>
      <c r="Q132">
        <f t="shared" si="39"/>
        <v>1.4735238670305479</v>
      </c>
      <c r="S132">
        <f t="shared" si="40"/>
        <v>117</v>
      </c>
      <c r="T132">
        <f t="shared" si="26"/>
        <v>202.28199154964727</v>
      </c>
      <c r="U132">
        <f t="shared" si="27"/>
        <v>203.64019503507504</v>
      </c>
      <c r="V132">
        <f t="shared" si="28"/>
        <v>203.69945726520774</v>
      </c>
      <c r="W132">
        <f t="shared" si="41"/>
        <v>1.4174657155604677</v>
      </c>
      <c r="X132">
        <f t="shared" si="42"/>
        <v>5.9262230132702598E-2</v>
      </c>
    </row>
    <row r="133" spans="2:24" x14ac:dyDescent="0.25">
      <c r="B133">
        <f t="shared" si="31"/>
        <v>118</v>
      </c>
      <c r="C133">
        <f t="shared" si="32"/>
        <v>203.79185453099481</v>
      </c>
      <c r="D133">
        <f t="shared" si="33"/>
        <v>1.491022206838349</v>
      </c>
      <c r="F133">
        <f t="shared" si="29"/>
        <v>118</v>
      </c>
      <c r="G133">
        <f t="shared" si="30"/>
        <v>205.12372893895414</v>
      </c>
      <c r="H133">
        <f t="shared" si="23"/>
        <v>1.4742641576996491</v>
      </c>
      <c r="I133">
        <f t="shared" si="24"/>
        <v>206.59799309665379</v>
      </c>
      <c r="J133">
        <f t="shared" si="25"/>
        <v>1.4555646744721784</v>
      </c>
      <c r="L133">
        <f t="shared" si="34"/>
        <v>118</v>
      </c>
      <c r="M133">
        <f t="shared" si="35"/>
        <v>205.18230312987936</v>
      </c>
      <c r="N133">
        <f t="shared" si="36"/>
        <v>1.4735242009831249</v>
      </c>
      <c r="O133">
        <f t="shared" si="37"/>
        <v>1.4641956309074058</v>
      </c>
      <c r="P133">
        <f t="shared" si="38"/>
        <v>1.464254811415975</v>
      </c>
      <c r="Q133">
        <f t="shared" si="39"/>
        <v>1.4549460174900588</v>
      </c>
      <c r="S133">
        <f t="shared" si="40"/>
        <v>118</v>
      </c>
      <c r="T133">
        <f t="shared" si="26"/>
        <v>203.79185453099481</v>
      </c>
      <c r="U133">
        <f t="shared" si="27"/>
        <v>205.12372893895414</v>
      </c>
      <c r="V133">
        <f t="shared" si="28"/>
        <v>205.18230312987936</v>
      </c>
      <c r="W133">
        <f t="shared" si="41"/>
        <v>1.3904485988845465</v>
      </c>
      <c r="X133">
        <f t="shared" si="42"/>
        <v>5.8574190925213543E-2</v>
      </c>
    </row>
    <row r="134" spans="2:24" x14ac:dyDescent="0.25">
      <c r="B134">
        <f t="shared" si="31"/>
        <v>119</v>
      </c>
      <c r="C134">
        <f t="shared" si="32"/>
        <v>205.28287673783316</v>
      </c>
      <c r="D134">
        <f t="shared" si="33"/>
        <v>1.4722530938961667</v>
      </c>
      <c r="F134">
        <f t="shared" si="29"/>
        <v>119</v>
      </c>
      <c r="G134">
        <f t="shared" si="30"/>
        <v>206.58864335504006</v>
      </c>
      <c r="H134">
        <f t="shared" si="23"/>
        <v>1.4556837593530505</v>
      </c>
      <c r="I134">
        <f t="shared" si="24"/>
        <v>208.04432711439313</v>
      </c>
      <c r="J134">
        <f t="shared" si="25"/>
        <v>1.4370677662882403</v>
      </c>
      <c r="L134">
        <f t="shared" si="34"/>
        <v>119</v>
      </c>
      <c r="M134">
        <f t="shared" si="35"/>
        <v>206.64653164706601</v>
      </c>
      <c r="N134">
        <f t="shared" si="36"/>
        <v>1.4549463524923396</v>
      </c>
      <c r="O134">
        <f t="shared" si="37"/>
        <v>1.4456589936470183</v>
      </c>
      <c r="P134">
        <f t="shared" si="38"/>
        <v>1.4457183977833481</v>
      </c>
      <c r="Q134">
        <f t="shared" si="39"/>
        <v>1.4364523323184695</v>
      </c>
      <c r="S134">
        <f t="shared" si="40"/>
        <v>119</v>
      </c>
      <c r="T134">
        <f t="shared" si="26"/>
        <v>205.28287673783316</v>
      </c>
      <c r="U134">
        <f t="shared" si="27"/>
        <v>206.58864335504006</v>
      </c>
      <c r="V134">
        <f t="shared" si="28"/>
        <v>206.64653164706601</v>
      </c>
      <c r="W134">
        <f t="shared" si="41"/>
        <v>1.3636549092328494</v>
      </c>
      <c r="X134">
        <f t="shared" si="42"/>
        <v>5.788829202595025E-2</v>
      </c>
    </row>
    <row r="135" spans="2:24" x14ac:dyDescent="0.25">
      <c r="B135">
        <f t="shared" si="31"/>
        <v>120</v>
      </c>
      <c r="C135">
        <f t="shared" si="32"/>
        <v>206.75512983172933</v>
      </c>
      <c r="D135">
        <f t="shared" si="33"/>
        <v>1.4535623314663464</v>
      </c>
      <c r="F135">
        <f t="shared" si="29"/>
        <v>120</v>
      </c>
      <c r="G135">
        <f t="shared" si="30"/>
        <v>208.03501911786071</v>
      </c>
      <c r="H135">
        <f t="shared" si="23"/>
        <v>1.4371872821141005</v>
      </c>
      <c r="I135">
        <f t="shared" si="24"/>
        <v>209.47220639997482</v>
      </c>
      <c r="J135">
        <f t="shared" si="25"/>
        <v>1.418660779496983</v>
      </c>
      <c r="L135">
        <f t="shared" si="34"/>
        <v>120</v>
      </c>
      <c r="M135">
        <f t="shared" si="35"/>
        <v>208.09222389167795</v>
      </c>
      <c r="N135">
        <f t="shared" si="36"/>
        <v>1.4364526682262782</v>
      </c>
      <c r="O135">
        <f t="shared" si="37"/>
        <v>1.4272095362910784</v>
      </c>
      <c r="P135">
        <f t="shared" si="38"/>
        <v>1.4272691300318532</v>
      </c>
      <c r="Q135">
        <f t="shared" si="39"/>
        <v>1.4180487325524582</v>
      </c>
      <c r="S135">
        <f t="shared" si="40"/>
        <v>120</v>
      </c>
      <c r="T135">
        <f t="shared" si="26"/>
        <v>206.75512983172933</v>
      </c>
      <c r="U135">
        <f t="shared" si="27"/>
        <v>208.03501911786071</v>
      </c>
      <c r="V135">
        <f t="shared" si="28"/>
        <v>208.09222389167795</v>
      </c>
      <c r="W135">
        <f t="shared" si="41"/>
        <v>1.3370940599486119</v>
      </c>
      <c r="X135">
        <f t="shared" si="42"/>
        <v>5.720477381723299E-2</v>
      </c>
    </row>
    <row r="136" spans="2:24" x14ac:dyDescent="0.25">
      <c r="B136">
        <f t="shared" si="31"/>
        <v>121</v>
      </c>
      <c r="C136">
        <f t="shared" si="32"/>
        <v>208.20869216319568</v>
      </c>
      <c r="D136">
        <f t="shared" si="33"/>
        <v>1.4349562829556877</v>
      </c>
      <c r="F136">
        <f t="shared" si="29"/>
        <v>121</v>
      </c>
      <c r="G136">
        <f t="shared" si="30"/>
        <v>209.46294314866626</v>
      </c>
      <c r="H136">
        <f t="shared" si="23"/>
        <v>1.4187806584459044</v>
      </c>
      <c r="I136">
        <f t="shared" si="24"/>
        <v>210.88172380711217</v>
      </c>
      <c r="J136">
        <f t="shared" si="25"/>
        <v>1.4003493434182681</v>
      </c>
      <c r="L136">
        <f t="shared" si="34"/>
        <v>121</v>
      </c>
      <c r="M136">
        <f t="shared" si="35"/>
        <v>209.51946701391537</v>
      </c>
      <c r="N136">
        <f t="shared" si="36"/>
        <v>1.4180490692236227</v>
      </c>
      <c r="O136">
        <f t="shared" si="37"/>
        <v>1.4088530278102662</v>
      </c>
      <c r="P136">
        <f t="shared" si="38"/>
        <v>1.4089127780540034</v>
      </c>
      <c r="Q136">
        <f t="shared" si="39"/>
        <v>1.3997408382629486</v>
      </c>
      <c r="S136">
        <f t="shared" si="40"/>
        <v>121</v>
      </c>
      <c r="T136">
        <f t="shared" si="26"/>
        <v>208.20869216319568</v>
      </c>
      <c r="U136">
        <f t="shared" si="27"/>
        <v>209.46294314866626</v>
      </c>
      <c r="V136">
        <f t="shared" si="28"/>
        <v>209.51946701391537</v>
      </c>
      <c r="W136">
        <f t="shared" si="41"/>
        <v>1.3107748507196959</v>
      </c>
      <c r="X136">
        <f t="shared" si="42"/>
        <v>5.6523865249118899E-2</v>
      </c>
    </row>
    <row r="137" spans="2:24" x14ac:dyDescent="0.25">
      <c r="B137">
        <f t="shared" si="31"/>
        <v>122</v>
      </c>
      <c r="C137">
        <f t="shared" si="32"/>
        <v>209.64364844615136</v>
      </c>
      <c r="D137">
        <f t="shared" si="33"/>
        <v>1.4164409954668096</v>
      </c>
      <c r="F137">
        <f t="shared" si="29"/>
        <v>122</v>
      </c>
      <c r="G137">
        <f t="shared" si="30"/>
        <v>210.87250814959833</v>
      </c>
      <c r="H137">
        <f t="shared" si="23"/>
        <v>1.4004695195206931</v>
      </c>
      <c r="I137">
        <f t="shared" si="24"/>
        <v>212.27297766911903</v>
      </c>
      <c r="J137">
        <f t="shared" si="25"/>
        <v>1.3821387950094262</v>
      </c>
      <c r="L137">
        <f t="shared" si="34"/>
        <v>122</v>
      </c>
      <c r="M137">
        <f t="shared" si="35"/>
        <v>210.92835393378456</v>
      </c>
      <c r="N137">
        <f t="shared" si="36"/>
        <v>1.3997411755574511</v>
      </c>
      <c r="O137">
        <f t="shared" si="37"/>
        <v>1.3905949406901892</v>
      </c>
      <c r="P137">
        <f t="shared" si="38"/>
        <v>1.390654815265131</v>
      </c>
      <c r="Q137">
        <f t="shared" si="39"/>
        <v>1.3815339774938213</v>
      </c>
      <c r="S137">
        <f t="shared" si="40"/>
        <v>122</v>
      </c>
      <c r="T137">
        <f t="shared" si="26"/>
        <v>209.64364844615136</v>
      </c>
      <c r="U137">
        <f t="shared" si="27"/>
        <v>210.87250814959833</v>
      </c>
      <c r="V137">
        <f t="shared" si="28"/>
        <v>210.92835393378456</v>
      </c>
      <c r="W137">
        <f t="shared" si="41"/>
        <v>1.2847054876332038</v>
      </c>
      <c r="X137">
        <f t="shared" si="42"/>
        <v>5.5845784186232095E-2</v>
      </c>
    </row>
    <row r="138" spans="2:24" x14ac:dyDescent="0.25">
      <c r="B138">
        <f t="shared" si="31"/>
        <v>123</v>
      </c>
      <c r="C138">
        <f t="shared" si="32"/>
        <v>211.06008944161817</v>
      </c>
      <c r="D138">
        <f t="shared" si="33"/>
        <v>1.3980222089351446</v>
      </c>
      <c r="F138">
        <f t="shared" si="29"/>
        <v>123</v>
      </c>
      <c r="G138">
        <f t="shared" si="30"/>
        <v>212.2638123068634</v>
      </c>
      <c r="H138">
        <f t="shared" si="23"/>
        <v>1.3822592041627841</v>
      </c>
      <c r="I138">
        <f t="shared" si="24"/>
        <v>213.64607151102618</v>
      </c>
      <c r="J138">
        <f t="shared" si="25"/>
        <v>1.3640341876892979</v>
      </c>
      <c r="L138">
        <f t="shared" si="34"/>
        <v>123</v>
      </c>
      <c r="M138">
        <f t="shared" si="35"/>
        <v>212.31898304461154</v>
      </c>
      <c r="N138">
        <f t="shared" si="36"/>
        <v>1.3815343152739359</v>
      </c>
      <c r="O138">
        <f t="shared" si="37"/>
        <v>1.3724404598100968</v>
      </c>
      <c r="P138">
        <f t="shared" si="38"/>
        <v>1.3725004274795087</v>
      </c>
      <c r="Q138">
        <f t="shared" si="39"/>
        <v>1.3634331950763425</v>
      </c>
      <c r="S138">
        <f t="shared" si="40"/>
        <v>123</v>
      </c>
      <c r="T138">
        <f t="shared" si="26"/>
        <v>211.06008944161817</v>
      </c>
      <c r="U138">
        <f t="shared" si="27"/>
        <v>212.2638123068634</v>
      </c>
      <c r="V138">
        <f t="shared" si="28"/>
        <v>212.31898304461154</v>
      </c>
      <c r="W138">
        <f t="shared" si="41"/>
        <v>1.2588936029933677</v>
      </c>
      <c r="X138">
        <f t="shared" si="42"/>
        <v>5.5170737748142074E-2</v>
      </c>
    </row>
    <row r="139" spans="2:24" x14ac:dyDescent="0.25">
      <c r="B139">
        <f t="shared" si="31"/>
        <v>124</v>
      </c>
      <c r="C139">
        <f t="shared" si="32"/>
        <v>212.45811165055332</v>
      </c>
      <c r="D139">
        <f t="shared" si="33"/>
        <v>1.3797053651592233</v>
      </c>
      <c r="F139">
        <f t="shared" si="29"/>
        <v>124</v>
      </c>
      <c r="G139">
        <f t="shared" si="30"/>
        <v>213.63695900278944</v>
      </c>
      <c r="H139">
        <f t="shared" si="23"/>
        <v>1.3641547676675079</v>
      </c>
      <c r="I139">
        <f t="shared" si="24"/>
        <v>215.00111377045695</v>
      </c>
      <c r="J139">
        <f t="shared" si="25"/>
        <v>1.3460403000313121</v>
      </c>
      <c r="L139">
        <f t="shared" si="34"/>
        <v>124</v>
      </c>
      <c r="M139">
        <f t="shared" si="35"/>
        <v>213.69145792543313</v>
      </c>
      <c r="N139">
        <f t="shared" si="36"/>
        <v>1.363433533206762</v>
      </c>
      <c r="O139">
        <f t="shared" si="37"/>
        <v>1.354394491193875</v>
      </c>
      <c r="P139">
        <f t="shared" si="38"/>
        <v>1.354454521658947</v>
      </c>
      <c r="Q139">
        <f t="shared" si="39"/>
        <v>1.3454432613128229</v>
      </c>
      <c r="S139">
        <f t="shared" si="40"/>
        <v>124</v>
      </c>
      <c r="T139">
        <f t="shared" si="26"/>
        <v>212.45811165055332</v>
      </c>
      <c r="U139">
        <f t="shared" si="27"/>
        <v>213.63695900278944</v>
      </c>
      <c r="V139">
        <f t="shared" si="28"/>
        <v>213.69145792543313</v>
      </c>
      <c r="W139">
        <f t="shared" si="41"/>
        <v>1.233346274879807</v>
      </c>
      <c r="X139">
        <f t="shared" si="42"/>
        <v>5.4498922643688275E-2</v>
      </c>
    </row>
    <row r="140" spans="2:24" x14ac:dyDescent="0.25">
      <c r="B140">
        <f t="shared" si="31"/>
        <v>125</v>
      </c>
      <c r="C140">
        <f t="shared" si="32"/>
        <v>213.83781701571255</v>
      </c>
      <c r="D140">
        <f t="shared" si="33"/>
        <v>1.3614956167158314</v>
      </c>
      <c r="F140">
        <f t="shared" si="29"/>
        <v>125</v>
      </c>
      <c r="G140">
        <f t="shared" si="30"/>
        <v>214.99205653663884</v>
      </c>
      <c r="H140">
        <f t="shared" si="23"/>
        <v>1.3461609904895897</v>
      </c>
      <c r="I140">
        <f t="shared" si="24"/>
        <v>216.33821752712842</v>
      </c>
      <c r="J140">
        <f t="shared" si="25"/>
        <v>1.3281616443198652</v>
      </c>
      <c r="L140">
        <f t="shared" si="34"/>
        <v>125</v>
      </c>
      <c r="M140">
        <f t="shared" si="35"/>
        <v>215.04588706213733</v>
      </c>
      <c r="N140">
        <f t="shared" si="36"/>
        <v>1.345443599660765</v>
      </c>
      <c r="O140">
        <f t="shared" si="37"/>
        <v>1.3364616706271908</v>
      </c>
      <c r="P140">
        <f t="shared" si="38"/>
        <v>1.3365217345277212</v>
      </c>
      <c r="Q140">
        <f t="shared" si="39"/>
        <v>1.3275686805236944</v>
      </c>
      <c r="S140">
        <f t="shared" si="40"/>
        <v>125</v>
      </c>
      <c r="T140">
        <f t="shared" si="26"/>
        <v>213.83781701571255</v>
      </c>
      <c r="U140">
        <f t="shared" si="27"/>
        <v>214.99205653663884</v>
      </c>
      <c r="V140">
        <f t="shared" si="28"/>
        <v>215.04588706213733</v>
      </c>
      <c r="W140">
        <f t="shared" si="41"/>
        <v>1.2080700464247798</v>
      </c>
      <c r="X140">
        <f t="shared" si="42"/>
        <v>5.3830525498483439E-2</v>
      </c>
    </row>
    <row r="141" spans="2:24" x14ac:dyDescent="0.25">
      <c r="B141">
        <f t="shared" si="31"/>
        <v>126</v>
      </c>
      <c r="C141">
        <f t="shared" si="32"/>
        <v>215.19931263242839</v>
      </c>
      <c r="D141">
        <f t="shared" si="33"/>
        <v>1.3433978357525376</v>
      </c>
      <c r="F141">
        <f t="shared" si="29"/>
        <v>126</v>
      </c>
      <c r="G141">
        <f t="shared" si="30"/>
        <v>216.32921785404358</v>
      </c>
      <c r="H141">
        <f t="shared" si="23"/>
        <v>1.328282386795153</v>
      </c>
      <c r="I141">
        <f t="shared" si="24"/>
        <v>217.65750024083874</v>
      </c>
      <c r="J141">
        <f t="shared" si="25"/>
        <v>1.3104024749648631</v>
      </c>
      <c r="L141">
        <f t="shared" si="34"/>
        <v>126</v>
      </c>
      <c r="M141">
        <f t="shared" si="35"/>
        <v>216.38238357721971</v>
      </c>
      <c r="N141">
        <f t="shared" si="36"/>
        <v>1.3275690189590119</v>
      </c>
      <c r="O141">
        <f t="shared" si="37"/>
        <v>1.318646372135359</v>
      </c>
      <c r="P141">
        <f t="shared" si="38"/>
        <v>1.3187064410484055</v>
      </c>
      <c r="Q141">
        <f t="shared" si="39"/>
        <v>1.3098136994529834</v>
      </c>
      <c r="S141">
        <f t="shared" si="40"/>
        <v>126</v>
      </c>
      <c r="T141">
        <f t="shared" si="26"/>
        <v>215.19931263242839</v>
      </c>
      <c r="U141">
        <f t="shared" si="27"/>
        <v>216.32921785404358</v>
      </c>
      <c r="V141">
        <f t="shared" si="28"/>
        <v>216.38238357721971</v>
      </c>
      <c r="W141">
        <f t="shared" si="41"/>
        <v>1.183070944791325</v>
      </c>
      <c r="X141">
        <f t="shared" si="42"/>
        <v>5.3165723176135771E-2</v>
      </c>
    </row>
    <row r="142" spans="2:24" x14ac:dyDescent="0.25">
      <c r="B142">
        <f t="shared" si="31"/>
        <v>127</v>
      </c>
      <c r="C142">
        <f t="shared" si="32"/>
        <v>216.54271046818093</v>
      </c>
      <c r="D142">
        <f t="shared" si="33"/>
        <v>1.3254166226508082</v>
      </c>
      <c r="F142">
        <f t="shared" si="29"/>
        <v>127</v>
      </c>
      <c r="G142">
        <f t="shared" si="30"/>
        <v>217.64856028492358</v>
      </c>
      <c r="H142">
        <f t="shared" si="23"/>
        <v>1.3105232128722974</v>
      </c>
      <c r="I142">
        <f t="shared" si="24"/>
        <v>218.95908349779586</v>
      </c>
      <c r="J142">
        <f t="shared" si="25"/>
        <v>1.2927667967700844</v>
      </c>
      <c r="L142">
        <f t="shared" si="34"/>
        <v>127</v>
      </c>
      <c r="M142">
        <f t="shared" si="35"/>
        <v>217.70106496801631</v>
      </c>
      <c r="N142">
        <f t="shared" si="36"/>
        <v>1.3098140378482628</v>
      </c>
      <c r="O142">
        <f t="shared" si="37"/>
        <v>1.300952716317231</v>
      </c>
      <c r="P142">
        <f t="shared" si="38"/>
        <v>1.301012762753901</v>
      </c>
      <c r="Q142">
        <f t="shared" si="39"/>
        <v>1.2921823155277581</v>
      </c>
      <c r="S142">
        <f t="shared" si="40"/>
        <v>127</v>
      </c>
      <c r="T142">
        <f t="shared" si="26"/>
        <v>216.54271046818093</v>
      </c>
      <c r="U142">
        <f t="shared" si="27"/>
        <v>217.64856028492358</v>
      </c>
      <c r="V142">
        <f t="shared" si="28"/>
        <v>217.70106496801631</v>
      </c>
      <c r="W142">
        <f t="shared" si="41"/>
        <v>1.158354499835383</v>
      </c>
      <c r="X142">
        <f t="shared" si="42"/>
        <v>5.2504683092735149E-2</v>
      </c>
    </row>
    <row r="143" spans="2:24" x14ac:dyDescent="0.25">
      <c r="B143">
        <f t="shared" si="31"/>
        <v>128</v>
      </c>
      <c r="C143">
        <f t="shared" si="32"/>
        <v>217.86812709083173</v>
      </c>
      <c r="D143">
        <f t="shared" si="33"/>
        <v>1.3075563145538047</v>
      </c>
      <c r="F143">
        <f t="shared" si="29"/>
        <v>128</v>
      </c>
      <c r="G143">
        <f t="shared" si="30"/>
        <v>218.95020528974476</v>
      </c>
      <c r="H143">
        <f t="shared" ref="H143:H206" si="43">0.3*(G143^(3/4))*(1-(G143/300)^(1/4))</f>
        <v>1.2928874753957655</v>
      </c>
      <c r="I143">
        <f t="shared" ref="I143:I206" si="44">G143+$C$10*H143</f>
        <v>220.24309276514052</v>
      </c>
      <c r="J143">
        <f t="shared" ref="J143:J206" si="45">0.3*(I143^(3/4))*(1-(I143/300)^(1/4))</f>
        <v>1.2752583730515226</v>
      </c>
      <c r="L143">
        <f t="shared" si="34"/>
        <v>128</v>
      </c>
      <c r="M143">
        <f t="shared" si="35"/>
        <v>219.00205285326936</v>
      </c>
      <c r="N143">
        <f t="shared" si="36"/>
        <v>1.2921826537583996</v>
      </c>
      <c r="O143">
        <f t="shared" si="37"/>
        <v>1.2833845785310145</v>
      </c>
      <c r="P143">
        <f t="shared" si="38"/>
        <v>1.2834445759315218</v>
      </c>
      <c r="Q143">
        <f t="shared" si="39"/>
        <v>1.2746782849677258</v>
      </c>
      <c r="S143">
        <f t="shared" si="40"/>
        <v>128</v>
      </c>
      <c r="T143">
        <f t="shared" ref="T143:T206" si="46">C143</f>
        <v>217.86812709083173</v>
      </c>
      <c r="U143">
        <f t="shared" ref="U143:U206" si="47">G143</f>
        <v>218.95020528974476</v>
      </c>
      <c r="V143">
        <f t="shared" ref="V143:V206" si="48">M143</f>
        <v>219.00205285326936</v>
      </c>
      <c r="W143">
        <f t="shared" si="41"/>
        <v>1.1339257624376273</v>
      </c>
      <c r="X143">
        <f t="shared" si="42"/>
        <v>5.1847563524603402E-2</v>
      </c>
    </row>
    <row r="144" spans="2:24" x14ac:dyDescent="0.25">
      <c r="B144">
        <f t="shared" si="31"/>
        <v>129</v>
      </c>
      <c r="C144">
        <f t="shared" si="32"/>
        <v>219.17568340538554</v>
      </c>
      <c r="D144">
        <f t="shared" si="33"/>
        <v>1.2898209937535825</v>
      </c>
      <c r="F144">
        <f t="shared" ref="F144:F207" si="49">F143+$C$10</f>
        <v>129</v>
      </c>
      <c r="G144">
        <f t="shared" ref="G144:G207" si="50">G143+$C$10/2*(H143+J143)</f>
        <v>220.23427821396839</v>
      </c>
      <c r="H144">
        <f t="shared" si="43"/>
        <v>1.2753789395419308</v>
      </c>
      <c r="I144">
        <f t="shared" si="44"/>
        <v>221.50965715351032</v>
      </c>
      <c r="J144">
        <f t="shared" si="45"/>
        <v>1.2578807336024638</v>
      </c>
      <c r="L144">
        <f t="shared" si="34"/>
        <v>129</v>
      </c>
      <c r="M144">
        <f t="shared" si="35"/>
        <v>220.2854727278779</v>
      </c>
      <c r="N144">
        <f t="shared" si="36"/>
        <v>1.2746786229120231</v>
      </c>
      <c r="O144">
        <f t="shared" si="37"/>
        <v>1.2659455969284763</v>
      </c>
      <c r="P144">
        <f t="shared" si="38"/>
        <v>1.2660055196556645</v>
      </c>
      <c r="Q144">
        <f t="shared" si="39"/>
        <v>1.2573051307418002</v>
      </c>
      <c r="S144">
        <f t="shared" si="40"/>
        <v>129</v>
      </c>
      <c r="T144">
        <f t="shared" si="46"/>
        <v>219.17568340538554</v>
      </c>
      <c r="U144">
        <f t="shared" si="47"/>
        <v>220.23427821396839</v>
      </c>
      <c r="V144">
        <f t="shared" si="48"/>
        <v>220.2854727278779</v>
      </c>
      <c r="W144">
        <f t="shared" si="41"/>
        <v>1.109789322492361</v>
      </c>
      <c r="X144">
        <f t="shared" si="42"/>
        <v>5.1194513909507577E-2</v>
      </c>
    </row>
    <row r="145" spans="2:24" x14ac:dyDescent="0.25">
      <c r="B145">
        <f t="shared" ref="B145:B208" si="51">B144+$C$10</f>
        <v>130</v>
      </c>
      <c r="C145">
        <f t="shared" ref="C145:C208" si="52">C144+$C$10*D144</f>
        <v>220.46550439913912</v>
      </c>
      <c r="D145">
        <f t="shared" ref="D145:D208" si="53">0.3*(C145^(3/4))*(1-(C145/300)^(1/4))</f>
        <v>1.2722144959331141</v>
      </c>
      <c r="F145">
        <f t="shared" si="49"/>
        <v>130</v>
      </c>
      <c r="G145">
        <f t="shared" si="50"/>
        <v>221.5009080505406</v>
      </c>
      <c r="H145">
        <f t="shared" si="43"/>
        <v>1.2580011369508199</v>
      </c>
      <c r="I145">
        <f t="shared" si="44"/>
        <v>222.75890918749141</v>
      </c>
      <c r="J145">
        <f t="shared" si="45"/>
        <v>1.2406371825026665</v>
      </c>
      <c r="L145">
        <f t="shared" ref="L145:L208" si="54">L144+$C$10</f>
        <v>130</v>
      </c>
      <c r="M145">
        <f t="shared" ref="M145:M208" si="55">M144 + (1/6)*(N144+2*O144+2*P144+Q144)</f>
        <v>221.5514537256816</v>
      </c>
      <c r="N145">
        <f t="shared" ref="N145:N208" si="56">$C$10*0.3*(M145^(3/4))*(1-(M145/300)^(1/4))</f>
        <v>1.2573054682810008</v>
      </c>
      <c r="O145">
        <f t="shared" ref="O145:O208" si="57">$C$10*0.3*((M145+N145/2)^(3/4))*(1-((M145+N145/2)/300)^(1/4))</f>
        <v>1.2486391803346353</v>
      </c>
      <c r="P145">
        <f t="shared" ref="P145:P208" si="58">$C$10*0.3*((M145+O145/2)^(3/4))*(1-((M145+O145/2)/300)^(1/4))</f>
        <v>1.2486990036660559</v>
      </c>
      <c r="Q145">
        <f t="shared" ref="Q145:Q208" si="59">$C$10*0.3*((M145+P145)^(3/4))*(1-((M145+P145)/300)^(1/4))</f>
        <v>1.2400661503688861</v>
      </c>
      <c r="S145">
        <f t="shared" si="40"/>
        <v>130</v>
      </c>
      <c r="T145">
        <f t="shared" si="46"/>
        <v>220.46550439913912</v>
      </c>
      <c r="U145">
        <f t="shared" si="47"/>
        <v>221.5009080505406</v>
      </c>
      <c r="V145">
        <f t="shared" si="48"/>
        <v>221.5514537256816</v>
      </c>
      <c r="W145">
        <f t="shared" si="41"/>
        <v>1.085949326542476</v>
      </c>
      <c r="X145">
        <f t="shared" si="42"/>
        <v>5.0545675140995172E-2</v>
      </c>
    </row>
    <row r="146" spans="2:24" x14ac:dyDescent="0.25">
      <c r="B146">
        <f t="shared" si="51"/>
        <v>131</v>
      </c>
      <c r="C146">
        <f t="shared" si="52"/>
        <v>221.73771889507225</v>
      </c>
      <c r="D146">
        <f t="shared" si="53"/>
        <v>1.2547404182591753</v>
      </c>
      <c r="F146">
        <f t="shared" si="49"/>
        <v>131</v>
      </c>
      <c r="G146">
        <f t="shared" si="50"/>
        <v>222.75022721026735</v>
      </c>
      <c r="H146">
        <f t="shared" si="43"/>
        <v>1.2407573735324877</v>
      </c>
      <c r="I146">
        <f t="shared" si="44"/>
        <v>223.99098458379984</v>
      </c>
      <c r="J146">
        <f t="shared" si="45"/>
        <v>1.2235308057693672</v>
      </c>
      <c r="L146">
        <f t="shared" si="54"/>
        <v>131</v>
      </c>
      <c r="M146">
        <f t="shared" si="55"/>
        <v>222.80012839012346</v>
      </c>
      <c r="N146">
        <f t="shared" si="56"/>
        <v>1.2400664873872547</v>
      </c>
      <c r="O146">
        <f t="shared" si="57"/>
        <v>1.2314685159704684</v>
      </c>
      <c r="P146">
        <f t="shared" si="58"/>
        <v>1.2315282160891643</v>
      </c>
      <c r="Q146">
        <f t="shared" si="59"/>
        <v>1.2229644235607375</v>
      </c>
      <c r="S146">
        <f t="shared" si="40"/>
        <v>131</v>
      </c>
      <c r="T146">
        <f t="shared" si="46"/>
        <v>221.73771889507225</v>
      </c>
      <c r="U146">
        <f t="shared" si="47"/>
        <v>222.75022721026735</v>
      </c>
      <c r="V146">
        <f t="shared" si="48"/>
        <v>222.80012839012346</v>
      </c>
      <c r="W146">
        <f t="shared" si="41"/>
        <v>1.0624094950512131</v>
      </c>
      <c r="X146">
        <f t="shared" si="42"/>
        <v>4.9901179856107092E-2</v>
      </c>
    </row>
    <row r="147" spans="2:24" x14ac:dyDescent="0.25">
      <c r="B147">
        <f t="shared" si="51"/>
        <v>132</v>
      </c>
      <c r="C147">
        <f t="shared" si="52"/>
        <v>222.99245931333144</v>
      </c>
      <c r="D147">
        <f t="shared" si="53"/>
        <v>1.2374021273227449</v>
      </c>
      <c r="F147">
        <f t="shared" si="49"/>
        <v>132</v>
      </c>
      <c r="G147">
        <f t="shared" si="50"/>
        <v>223.98237129991827</v>
      </c>
      <c r="H147">
        <f t="shared" si="43"/>
        <v>1.2236507371154792</v>
      </c>
      <c r="I147">
        <f t="shared" si="44"/>
        <v>225.20602203703376</v>
      </c>
      <c r="J147">
        <f t="shared" si="45"/>
        <v>1.2065644788484216</v>
      </c>
      <c r="L147">
        <f t="shared" si="54"/>
        <v>132</v>
      </c>
      <c r="M147">
        <f t="shared" si="55"/>
        <v>224.03163245263468</v>
      </c>
      <c r="N147">
        <f t="shared" si="56"/>
        <v>1.2229647599456008</v>
      </c>
      <c r="O147">
        <f t="shared" si="57"/>
        <v>1.2144365770166756</v>
      </c>
      <c r="P147">
        <f t="shared" si="58"/>
        <v>1.2144961310008073</v>
      </c>
      <c r="Q147">
        <f t="shared" si="59"/>
        <v>1.2060028197051167</v>
      </c>
      <c r="S147">
        <f t="shared" si="40"/>
        <v>132</v>
      </c>
      <c r="T147">
        <f t="shared" si="46"/>
        <v>222.99245931333144</v>
      </c>
      <c r="U147">
        <f t="shared" si="47"/>
        <v>223.98237129991827</v>
      </c>
      <c r="V147">
        <f t="shared" si="48"/>
        <v>224.03163245263468</v>
      </c>
      <c r="W147">
        <f t="shared" si="41"/>
        <v>1.0391731393032444</v>
      </c>
      <c r="X147">
        <f t="shared" si="42"/>
        <v>4.9261152716411516E-2</v>
      </c>
    </row>
    <row r="148" spans="2:24" x14ac:dyDescent="0.25">
      <c r="B148">
        <f t="shared" si="51"/>
        <v>133</v>
      </c>
      <c r="C148">
        <f t="shared" si="52"/>
        <v>224.22986144065419</v>
      </c>
      <c r="D148">
        <f t="shared" si="53"/>
        <v>1.2202027669240596</v>
      </c>
      <c r="F148">
        <f t="shared" si="49"/>
        <v>133</v>
      </c>
      <c r="G148">
        <f t="shared" si="50"/>
        <v>225.19747890790023</v>
      </c>
      <c r="H148">
        <f t="shared" si="43"/>
        <v>1.20668410493569</v>
      </c>
      <c r="I148">
        <f t="shared" si="44"/>
        <v>226.40416301283594</v>
      </c>
      <c r="J148">
        <f t="shared" si="45"/>
        <v>1.1897408739442437</v>
      </c>
      <c r="L148">
        <f t="shared" si="54"/>
        <v>133</v>
      </c>
      <c r="M148">
        <f t="shared" si="55"/>
        <v>225.24610461858231</v>
      </c>
      <c r="N148">
        <f t="shared" si="56"/>
        <v>1.2060031553469071</v>
      </c>
      <c r="O148">
        <f t="shared" si="57"/>
        <v>1.1975461300169961</v>
      </c>
      <c r="P148">
        <f t="shared" si="58"/>
        <v>1.1976055158284014</v>
      </c>
      <c r="Q148">
        <f t="shared" si="59"/>
        <v>1.1891840051879436</v>
      </c>
      <c r="S148">
        <f t="shared" si="40"/>
        <v>133</v>
      </c>
      <c r="T148">
        <f t="shared" si="46"/>
        <v>224.22986144065419</v>
      </c>
      <c r="U148">
        <f t="shared" si="47"/>
        <v>225.19747890790023</v>
      </c>
      <c r="V148">
        <f t="shared" si="48"/>
        <v>225.24610461858231</v>
      </c>
      <c r="W148">
        <f t="shared" si="41"/>
        <v>1.0162431779281178</v>
      </c>
      <c r="X148">
        <f t="shared" si="42"/>
        <v>4.8625710682074441E-2</v>
      </c>
    </row>
    <row r="149" spans="2:24" x14ac:dyDescent="0.25">
      <c r="B149">
        <f t="shared" si="51"/>
        <v>134</v>
      </c>
      <c r="C149">
        <f t="shared" si="52"/>
        <v>225.45006420757824</v>
      </c>
      <c r="D149">
        <f t="shared" si="53"/>
        <v>1.203145265700027</v>
      </c>
      <c r="F149">
        <f t="shared" si="49"/>
        <v>134</v>
      </c>
      <c r="G149">
        <f t="shared" si="50"/>
        <v>226.39569139734019</v>
      </c>
      <c r="H149">
        <f t="shared" si="43"/>
        <v>1.1898601509642412</v>
      </c>
      <c r="I149">
        <f t="shared" si="44"/>
        <v>227.58555154830444</v>
      </c>
      <c r="J149">
        <f t="shared" si="45"/>
        <v>1.1730624671876708</v>
      </c>
      <c r="L149">
        <f t="shared" si="54"/>
        <v>134</v>
      </c>
      <c r="M149">
        <f t="shared" si="55"/>
        <v>226.44368636061992</v>
      </c>
      <c r="N149">
        <f t="shared" si="56"/>
        <v>1.189184339980228</v>
      </c>
      <c r="O149">
        <f t="shared" si="57"/>
        <v>1.1807997421199554</v>
      </c>
      <c r="P149">
        <f t="shared" si="58"/>
        <v>1.1808589385917623</v>
      </c>
      <c r="Q149">
        <f t="shared" si="59"/>
        <v>1.1725104505535362</v>
      </c>
      <c r="S149">
        <f t="shared" si="40"/>
        <v>134</v>
      </c>
      <c r="T149">
        <f t="shared" si="46"/>
        <v>225.45006420757824</v>
      </c>
      <c r="U149">
        <f t="shared" si="47"/>
        <v>226.39569139734019</v>
      </c>
      <c r="V149">
        <f t="shared" si="48"/>
        <v>226.44368636061992</v>
      </c>
      <c r="W149">
        <f t="shared" si="41"/>
        <v>0.99362215304168444</v>
      </c>
      <c r="X149">
        <f t="shared" si="42"/>
        <v>4.7994963279734293E-2</v>
      </c>
    </row>
    <row r="150" spans="2:24" x14ac:dyDescent="0.25">
      <c r="B150">
        <f t="shared" si="51"/>
        <v>135</v>
      </c>
      <c r="C150">
        <f t="shared" si="52"/>
        <v>226.65320947327825</v>
      </c>
      <c r="D150">
        <f t="shared" si="53"/>
        <v>1.1862323445921155</v>
      </c>
      <c r="F150">
        <f t="shared" si="49"/>
        <v>135</v>
      </c>
      <c r="G150">
        <f t="shared" si="50"/>
        <v>227.57715270641614</v>
      </c>
      <c r="H150">
        <f t="shared" si="43"/>
        <v>1.1731813530734669</v>
      </c>
      <c r="I150">
        <f t="shared" si="44"/>
        <v>228.7503340594896</v>
      </c>
      <c r="J150">
        <f t="shared" si="45"/>
        <v>1.1565315456411194</v>
      </c>
      <c r="L150">
        <f t="shared" si="54"/>
        <v>135</v>
      </c>
      <c r="M150">
        <f t="shared" si="55"/>
        <v>227.62452171927944</v>
      </c>
      <c r="N150">
        <f t="shared" si="56"/>
        <v>1.1725107843930462</v>
      </c>
      <c r="O150">
        <f t="shared" si="57"/>
        <v>1.1641997881583321</v>
      </c>
      <c r="P150">
        <f t="shared" si="58"/>
        <v>1.1642587749817328</v>
      </c>
      <c r="Q150">
        <f t="shared" si="59"/>
        <v>1.1559844375023749</v>
      </c>
      <c r="S150">
        <f t="shared" si="40"/>
        <v>135</v>
      </c>
      <c r="T150">
        <f t="shared" si="46"/>
        <v>226.65320947327825</v>
      </c>
      <c r="U150">
        <f t="shared" si="47"/>
        <v>227.57715270641614</v>
      </c>
      <c r="V150">
        <f t="shared" si="48"/>
        <v>227.62452171927944</v>
      </c>
      <c r="W150">
        <f t="shared" si="41"/>
        <v>0.97131224600119026</v>
      </c>
      <c r="X150">
        <f t="shared" si="42"/>
        <v>4.7369012863299531E-2</v>
      </c>
    </row>
    <row r="151" spans="2:24" x14ac:dyDescent="0.25">
      <c r="B151">
        <f t="shared" si="51"/>
        <v>136</v>
      </c>
      <c r="C151">
        <f t="shared" si="52"/>
        <v>227.83944181787038</v>
      </c>
      <c r="D151">
        <f t="shared" si="53"/>
        <v>1.169466524153342</v>
      </c>
      <c r="F151">
        <f t="shared" si="49"/>
        <v>136</v>
      </c>
      <c r="G151">
        <f t="shared" si="50"/>
        <v>228.74200915577345</v>
      </c>
      <c r="H151">
        <f t="shared" si="43"/>
        <v>1.1566500000404494</v>
      </c>
      <c r="I151">
        <f t="shared" si="44"/>
        <v>229.8986591558139</v>
      </c>
      <c r="J151">
        <f t="shared" si="45"/>
        <v>1.140150214140937</v>
      </c>
      <c r="L151">
        <f t="shared" si="54"/>
        <v>136</v>
      </c>
      <c r="M151">
        <f t="shared" si="55"/>
        <v>228.78875711064202</v>
      </c>
      <c r="N151">
        <f t="shared" si="56"/>
        <v>1.1559847702890267</v>
      </c>
      <c r="O151">
        <f t="shared" si="57"/>
        <v>1.1477484575659631</v>
      </c>
      <c r="P151">
        <f t="shared" si="58"/>
        <v>1.1478072152762255</v>
      </c>
      <c r="Q151">
        <f t="shared" si="59"/>
        <v>1.1396080657262067</v>
      </c>
      <c r="S151">
        <f t="shared" si="40"/>
        <v>136</v>
      </c>
      <c r="T151">
        <f t="shared" si="46"/>
        <v>227.83944181787038</v>
      </c>
      <c r="U151">
        <f t="shared" si="47"/>
        <v>228.74200915577345</v>
      </c>
      <c r="V151">
        <f t="shared" si="48"/>
        <v>228.78875711064202</v>
      </c>
      <c r="W151">
        <f t="shared" si="41"/>
        <v>0.94931529277164373</v>
      </c>
      <c r="X151">
        <f t="shared" si="42"/>
        <v>4.6747954868578745E-2</v>
      </c>
    </row>
    <row r="152" spans="2:24" x14ac:dyDescent="0.25">
      <c r="B152">
        <f t="shared" si="51"/>
        <v>137</v>
      </c>
      <c r="C152">
        <f t="shared" si="52"/>
        <v>229.00890834202372</v>
      </c>
      <c r="D152">
        <f t="shared" si="53"/>
        <v>1.1528501316933328</v>
      </c>
      <c r="F152">
        <f t="shared" si="49"/>
        <v>137</v>
      </c>
      <c r="G152">
        <f t="shared" si="50"/>
        <v>229.89040926286413</v>
      </c>
      <c r="H152">
        <f t="shared" si="43"/>
        <v>1.1402681983878724</v>
      </c>
      <c r="I152">
        <f t="shared" si="44"/>
        <v>231.030677461252</v>
      </c>
      <c r="J152">
        <f t="shared" si="45"/>
        <v>1.1239204019769458</v>
      </c>
      <c r="L152">
        <f t="shared" si="54"/>
        <v>137</v>
      </c>
      <c r="M152">
        <f t="shared" si="55"/>
        <v>229.9365411409253</v>
      </c>
      <c r="N152">
        <f t="shared" si="56"/>
        <v>1.1396083973631019</v>
      </c>
      <c r="O152">
        <f t="shared" si="57"/>
        <v>1.1314477611318345</v>
      </c>
      <c r="P152">
        <f t="shared" si="58"/>
        <v>1.1315062710936632</v>
      </c>
      <c r="Q152">
        <f t="shared" si="59"/>
        <v>1.1233832595805389</v>
      </c>
      <c r="S152">
        <f t="shared" si="40"/>
        <v>137</v>
      </c>
      <c r="T152">
        <f t="shared" si="46"/>
        <v>229.00890834202372</v>
      </c>
      <c r="U152">
        <f t="shared" si="47"/>
        <v>229.89040926286413</v>
      </c>
      <c r="V152">
        <f t="shared" si="48"/>
        <v>229.9365411409253</v>
      </c>
      <c r="W152">
        <f t="shared" si="41"/>
        <v>0.92763279890158401</v>
      </c>
      <c r="X152">
        <f t="shared" si="42"/>
        <v>4.6131878061174802E-2</v>
      </c>
    </row>
    <row r="153" spans="2:24" x14ac:dyDescent="0.25">
      <c r="B153">
        <f t="shared" si="51"/>
        <v>138</v>
      </c>
      <c r="C153">
        <f t="shared" si="52"/>
        <v>230.16175847371704</v>
      </c>
      <c r="D153">
        <f t="shared" si="53"/>
        <v>1.1363853082608255</v>
      </c>
      <c r="F153">
        <f t="shared" si="49"/>
        <v>138</v>
      </c>
      <c r="G153">
        <f t="shared" si="50"/>
        <v>231.02250356304654</v>
      </c>
      <c r="H153">
        <f t="shared" si="43"/>
        <v>1.1240378790622971</v>
      </c>
      <c r="I153">
        <f t="shared" si="44"/>
        <v>232.14654144210883</v>
      </c>
      <c r="J153">
        <f t="shared" si="45"/>
        <v>1.1078438694096502</v>
      </c>
      <c r="L153">
        <f t="shared" si="54"/>
        <v>138</v>
      </c>
      <c r="M153">
        <f t="shared" si="55"/>
        <v>231.06802442782441</v>
      </c>
      <c r="N153">
        <f t="shared" si="56"/>
        <v>1.1233835899739864</v>
      </c>
      <c r="O153">
        <f t="shared" si="57"/>
        <v>1.1152995375917254</v>
      </c>
      <c r="P153">
        <f t="shared" si="58"/>
        <v>1.1153577819840264</v>
      </c>
      <c r="Q153">
        <f t="shared" si="59"/>
        <v>1.1073117745949927</v>
      </c>
      <c r="S153">
        <f t="shared" si="40"/>
        <v>138</v>
      </c>
      <c r="T153">
        <f t="shared" si="46"/>
        <v>230.16175847371704</v>
      </c>
      <c r="U153">
        <f t="shared" si="47"/>
        <v>231.02250356304654</v>
      </c>
      <c r="V153">
        <f t="shared" si="48"/>
        <v>231.06802442782441</v>
      </c>
      <c r="W153">
        <f t="shared" si="41"/>
        <v>0.90626595410736854</v>
      </c>
      <c r="X153">
        <f t="shared" si="42"/>
        <v>4.5520864777870429E-2</v>
      </c>
    </row>
    <row r="154" spans="2:24" x14ac:dyDescent="0.25">
      <c r="B154">
        <f t="shared" si="51"/>
        <v>139</v>
      </c>
      <c r="C154">
        <f t="shared" si="52"/>
        <v>231.29814378197787</v>
      </c>
      <c r="D154">
        <f t="shared" si="53"/>
        <v>1.120074015463318</v>
      </c>
      <c r="F154">
        <f t="shared" si="49"/>
        <v>139</v>
      </c>
      <c r="G154">
        <f t="shared" si="50"/>
        <v>232.13844443728252</v>
      </c>
      <c r="H154">
        <f t="shared" si="43"/>
        <v>1.1079608039502249</v>
      </c>
      <c r="I154">
        <f t="shared" si="44"/>
        <v>233.24640524123274</v>
      </c>
      <c r="J154">
        <f t="shared" si="45"/>
        <v>1.0919222140257134</v>
      </c>
      <c r="L154">
        <f t="shared" si="54"/>
        <v>139</v>
      </c>
      <c r="M154">
        <f t="shared" si="55"/>
        <v>232.1833594284445</v>
      </c>
      <c r="N154">
        <f t="shared" si="56"/>
        <v>1.1073121036544911</v>
      </c>
      <c r="O154">
        <f t="shared" si="57"/>
        <v>1.099305460057916</v>
      </c>
      <c r="P154">
        <f t="shared" si="58"/>
        <v>1.0993634218580712</v>
      </c>
      <c r="Q154">
        <f t="shared" si="59"/>
        <v>1.0913952038220804</v>
      </c>
      <c r="S154">
        <f t="shared" si="40"/>
        <v>139</v>
      </c>
      <c r="T154">
        <f t="shared" si="46"/>
        <v>231.29814378197787</v>
      </c>
      <c r="U154">
        <f t="shared" si="47"/>
        <v>232.13844443728252</v>
      </c>
      <c r="V154">
        <f t="shared" si="48"/>
        <v>232.1833594284445</v>
      </c>
      <c r="W154">
        <f t="shared" si="41"/>
        <v>0.88521564646663364</v>
      </c>
      <c r="X154">
        <f t="shared" si="42"/>
        <v>4.4914991161988382E-2</v>
      </c>
    </row>
    <row r="155" spans="2:24" x14ac:dyDescent="0.25">
      <c r="B155">
        <f t="shared" si="51"/>
        <v>140</v>
      </c>
      <c r="C155">
        <f t="shared" si="52"/>
        <v>232.4182177974412</v>
      </c>
      <c r="D155">
        <f t="shared" si="53"/>
        <v>1.1039180421239398</v>
      </c>
      <c r="F155">
        <f t="shared" si="49"/>
        <v>140</v>
      </c>
      <c r="G155">
        <f t="shared" si="50"/>
        <v>233.23838594627048</v>
      </c>
      <c r="H155">
        <f t="shared" si="43"/>
        <v>1.0920385722326025</v>
      </c>
      <c r="I155">
        <f t="shared" si="44"/>
        <v>234.33042451850309</v>
      </c>
      <c r="J155">
        <f t="shared" si="45"/>
        <v>1.0761568769326255</v>
      </c>
      <c r="L155">
        <f t="shared" si="54"/>
        <v>140</v>
      </c>
      <c r="M155">
        <f t="shared" si="55"/>
        <v>233.28270027366258</v>
      </c>
      <c r="N155">
        <f t="shared" si="56"/>
        <v>1.0913955314603281</v>
      </c>
      <c r="O155">
        <f t="shared" si="57"/>
        <v>1.0834670422877468</v>
      </c>
      <c r="P155">
        <f t="shared" si="58"/>
        <v>1.0835247052554586</v>
      </c>
      <c r="Q155">
        <f t="shared" si="59"/>
        <v>1.0756349840253767</v>
      </c>
      <c r="S155">
        <f t="shared" si="40"/>
        <v>140</v>
      </c>
      <c r="T155">
        <f t="shared" si="46"/>
        <v>232.4182177974412</v>
      </c>
      <c r="U155">
        <f t="shared" si="47"/>
        <v>233.23838594627048</v>
      </c>
      <c r="V155">
        <f t="shared" si="48"/>
        <v>233.28270027366258</v>
      </c>
      <c r="W155">
        <f t="shared" si="41"/>
        <v>0.86448247622138297</v>
      </c>
      <c r="X155">
        <f t="shared" si="42"/>
        <v>4.431432739210095E-2</v>
      </c>
    </row>
    <row r="156" spans="2:24" x14ac:dyDescent="0.25">
      <c r="B156">
        <f t="shared" si="51"/>
        <v>141</v>
      </c>
      <c r="C156">
        <f t="shared" si="52"/>
        <v>233.52213583956515</v>
      </c>
      <c r="D156">
        <f t="shared" si="53"/>
        <v>1.0879190107758261</v>
      </c>
      <c r="F156">
        <f t="shared" si="49"/>
        <v>141</v>
      </c>
      <c r="G156">
        <f t="shared" si="50"/>
        <v>234.3224836708531</v>
      </c>
      <c r="H156">
        <f t="shared" si="43"/>
        <v>1.076272626578652</v>
      </c>
      <c r="I156">
        <f t="shared" si="44"/>
        <v>235.39875629743176</v>
      </c>
      <c r="J156">
        <f t="shared" si="45"/>
        <v>1.060549148793668</v>
      </c>
      <c r="L156">
        <f t="shared" si="54"/>
        <v>141</v>
      </c>
      <c r="M156">
        <f t="shared" si="55"/>
        <v>234.36620260875793</v>
      </c>
      <c r="N156">
        <f t="shared" si="56"/>
        <v>1.0756353101582421</v>
      </c>
      <c r="O156">
        <f t="shared" si="57"/>
        <v>1.0677856447920402</v>
      </c>
      <c r="P156">
        <f t="shared" si="58"/>
        <v>1.0678429934528004</v>
      </c>
      <c r="Q156">
        <f t="shared" si="59"/>
        <v>1.0600324017081502</v>
      </c>
      <c r="S156">
        <f t="shared" ref="S156:S219" si="60">S155+1</f>
        <v>141</v>
      </c>
      <c r="T156">
        <f t="shared" si="46"/>
        <v>233.52213583956515</v>
      </c>
      <c r="U156">
        <f t="shared" si="47"/>
        <v>234.3224836708531</v>
      </c>
      <c r="V156">
        <f t="shared" si="48"/>
        <v>234.36620260875793</v>
      </c>
      <c r="W156">
        <f t="shared" ref="W156:W219" si="61">ABS(T156-V156)</f>
        <v>0.84406676919277857</v>
      </c>
      <c r="X156">
        <f t="shared" ref="X156:X219" si="62">ABS(U156-V156)</f>
        <v>4.3718937904827726E-2</v>
      </c>
    </row>
    <row r="157" spans="2:24" x14ac:dyDescent="0.25">
      <c r="B157">
        <f t="shared" si="51"/>
        <v>142</v>
      </c>
      <c r="C157">
        <f t="shared" si="52"/>
        <v>234.61005485034099</v>
      </c>
      <c r="D157">
        <f t="shared" si="53"/>
        <v>1.0720783839946362</v>
      </c>
      <c r="F157">
        <f t="shared" si="49"/>
        <v>142</v>
      </c>
      <c r="G157">
        <f t="shared" si="50"/>
        <v>235.39089455853926</v>
      </c>
      <c r="H157">
        <f t="shared" si="43"/>
        <v>1.0606642591801425</v>
      </c>
      <c r="I157">
        <f t="shared" si="44"/>
        <v>236.45155881771939</v>
      </c>
      <c r="J157">
        <f t="shared" si="45"/>
        <v>1.0451001757045226</v>
      </c>
      <c r="L157">
        <f t="shared" si="54"/>
        <v>142</v>
      </c>
      <c r="M157">
        <f t="shared" si="55"/>
        <v>235.43402344015061</v>
      </c>
      <c r="N157">
        <f t="shared" si="56"/>
        <v>1.0600327262546729</v>
      </c>
      <c r="O157">
        <f t="shared" si="57"/>
        <v>1.0522624807846064</v>
      </c>
      <c r="P157">
        <f t="shared" si="58"/>
        <v>1.052319500412874</v>
      </c>
      <c r="Q157">
        <f t="shared" si="59"/>
        <v>1.044588598983798</v>
      </c>
      <c r="S157">
        <f t="shared" si="60"/>
        <v>142</v>
      </c>
      <c r="T157">
        <f t="shared" si="46"/>
        <v>234.61005485034099</v>
      </c>
      <c r="U157">
        <f t="shared" si="47"/>
        <v>235.39089455853926</v>
      </c>
      <c r="V157">
        <f t="shared" si="48"/>
        <v>235.43402344015061</v>
      </c>
      <c r="W157">
        <f t="shared" si="61"/>
        <v>0.82396858980962406</v>
      </c>
      <c r="X157">
        <f t="shared" si="62"/>
        <v>4.3128881611352199E-2</v>
      </c>
    </row>
    <row r="158" spans="2:24" x14ac:dyDescent="0.25">
      <c r="B158">
        <f t="shared" si="51"/>
        <v>143</v>
      </c>
      <c r="C158">
        <f t="shared" si="52"/>
        <v>235.68213323433562</v>
      </c>
      <c r="D158">
        <f t="shared" si="53"/>
        <v>1.0563974705700565</v>
      </c>
      <c r="F158">
        <f t="shared" si="49"/>
        <v>143</v>
      </c>
      <c r="G158">
        <f t="shared" si="50"/>
        <v>236.4437767759816</v>
      </c>
      <c r="H158">
        <f t="shared" si="43"/>
        <v>1.0452146176274</v>
      </c>
      <c r="I158">
        <f t="shared" si="44"/>
        <v>237.48899139360901</v>
      </c>
      <c r="J158">
        <f t="shared" si="45"/>
        <v>1.0298109649129694</v>
      </c>
      <c r="L158">
        <f t="shared" si="54"/>
        <v>143</v>
      </c>
      <c r="M158">
        <f t="shared" si="55"/>
        <v>236.48632098808952</v>
      </c>
      <c r="N158">
        <f t="shared" si="56"/>
        <v>1.0445889218661581</v>
      </c>
      <c r="O158">
        <f t="shared" si="57"/>
        <v>1.036898621974248</v>
      </c>
      <c r="P158">
        <f t="shared" si="58"/>
        <v>1.0369552985763721</v>
      </c>
      <c r="Q158">
        <f t="shared" si="59"/>
        <v>1.0293045792895801</v>
      </c>
      <c r="S158">
        <f t="shared" si="60"/>
        <v>143</v>
      </c>
      <c r="T158">
        <f t="shared" si="46"/>
        <v>235.68213323433562</v>
      </c>
      <c r="U158">
        <f t="shared" si="47"/>
        <v>236.4437767759816</v>
      </c>
      <c r="V158">
        <f t="shared" si="48"/>
        <v>236.48632098808952</v>
      </c>
      <c r="W158">
        <f t="shared" si="61"/>
        <v>0.80418775375389373</v>
      </c>
      <c r="X158">
        <f t="shared" si="62"/>
        <v>4.2544212107912927E-2</v>
      </c>
    </row>
    <row r="159" spans="2:24" x14ac:dyDescent="0.25">
      <c r="B159">
        <f t="shared" si="51"/>
        <v>144</v>
      </c>
      <c r="C159">
        <f t="shared" si="52"/>
        <v>236.73853070490568</v>
      </c>
      <c r="D159">
        <f t="shared" si="53"/>
        <v>1.0408774315173626</v>
      </c>
      <c r="F159">
        <f t="shared" si="49"/>
        <v>144</v>
      </c>
      <c r="G159">
        <f t="shared" si="50"/>
        <v>237.48128956725179</v>
      </c>
      <c r="H159">
        <f t="shared" si="43"/>
        <v>1.0299247106285638</v>
      </c>
      <c r="I159">
        <f t="shared" si="44"/>
        <v>238.51121427788036</v>
      </c>
      <c r="J159">
        <f t="shared" si="45"/>
        <v>1.014682390383431</v>
      </c>
      <c r="L159">
        <f t="shared" si="54"/>
        <v>144</v>
      </c>
      <c r="M159">
        <f t="shared" si="55"/>
        <v>237.52325454513235</v>
      </c>
      <c r="N159">
        <f t="shared" si="56"/>
        <v>1.029304900433075</v>
      </c>
      <c r="O159">
        <f t="shared" si="57"/>
        <v>1.0216950042008373</v>
      </c>
      <c r="P159">
        <f t="shared" si="58"/>
        <v>1.0217513244978105</v>
      </c>
      <c r="Q159">
        <f t="shared" si="59"/>
        <v>1.014181212945322</v>
      </c>
      <c r="S159">
        <f t="shared" si="60"/>
        <v>144</v>
      </c>
      <c r="T159">
        <f t="shared" si="46"/>
        <v>236.73853070490568</v>
      </c>
      <c r="U159">
        <f t="shared" si="47"/>
        <v>237.48128956725179</v>
      </c>
      <c r="V159">
        <f t="shared" si="48"/>
        <v>237.52325454513235</v>
      </c>
      <c r="W159">
        <f t="shared" si="61"/>
        <v>0.7847238402266612</v>
      </c>
      <c r="X159">
        <f t="shared" si="62"/>
        <v>4.1964977880553533E-2</v>
      </c>
    </row>
    <row r="160" spans="2:24" x14ac:dyDescent="0.25">
      <c r="B160">
        <f t="shared" si="51"/>
        <v>145</v>
      </c>
      <c r="C160">
        <f t="shared" si="52"/>
        <v>237.77940813642306</v>
      </c>
      <c r="D160">
        <f t="shared" si="53"/>
        <v>1.0255192859303353</v>
      </c>
      <c r="F160">
        <f t="shared" si="49"/>
        <v>145</v>
      </c>
      <c r="G160">
        <f t="shared" si="50"/>
        <v>238.50359311775779</v>
      </c>
      <c r="H160">
        <f t="shared" si="43"/>
        <v>1.0147954135737443</v>
      </c>
      <c r="I160">
        <f t="shared" si="44"/>
        <v>239.51838853133154</v>
      </c>
      <c r="J160">
        <f t="shared" si="45"/>
        <v>0.99971519820809396</v>
      </c>
      <c r="L160">
        <f t="shared" si="54"/>
        <v>145</v>
      </c>
      <c r="M160">
        <f t="shared" si="55"/>
        <v>238.54498434026164</v>
      </c>
      <c r="N160">
        <f t="shared" si="56"/>
        <v>1.0141815322783345</v>
      </c>
      <c r="O160">
        <f t="shared" si="57"/>
        <v>1.0066524329172533</v>
      </c>
      <c r="P160">
        <f t="shared" si="58"/>
        <v>1.0067083843272948</v>
      </c>
      <c r="Q160">
        <f t="shared" si="59"/>
        <v>0.99921924255888561</v>
      </c>
      <c r="S160">
        <f t="shared" si="60"/>
        <v>145</v>
      </c>
      <c r="T160">
        <f t="shared" si="46"/>
        <v>237.77940813642306</v>
      </c>
      <c r="U160">
        <f t="shared" si="47"/>
        <v>238.50359311775779</v>
      </c>
      <c r="V160">
        <f t="shared" si="48"/>
        <v>238.54498434026164</v>
      </c>
      <c r="W160">
        <f t="shared" si="61"/>
        <v>0.76557620383857738</v>
      </c>
      <c r="X160">
        <f t="shared" si="62"/>
        <v>4.1391222503847303E-2</v>
      </c>
    </row>
    <row r="161" spans="2:24" x14ac:dyDescent="0.25">
      <c r="B161">
        <f t="shared" si="51"/>
        <v>146</v>
      </c>
      <c r="C161">
        <f t="shared" si="52"/>
        <v>238.80492742235339</v>
      </c>
      <c r="D161">
        <f t="shared" si="53"/>
        <v>1.0103239166770046</v>
      </c>
      <c r="F161">
        <f t="shared" si="49"/>
        <v>146</v>
      </c>
      <c r="G161">
        <f t="shared" si="50"/>
        <v>239.5108484236487</v>
      </c>
      <c r="H161">
        <f t="shared" si="43"/>
        <v>0.99982747394589633</v>
      </c>
      <c r="I161">
        <f t="shared" si="44"/>
        <v>240.51067589759458</v>
      </c>
      <c r="J161">
        <f t="shared" si="45"/>
        <v>0.98491001186662253</v>
      </c>
      <c r="L161">
        <f t="shared" si="54"/>
        <v>146</v>
      </c>
      <c r="M161">
        <f t="shared" si="55"/>
        <v>239.55167140848269</v>
      </c>
      <c r="N161">
        <f t="shared" si="56"/>
        <v>0.99921956001286028</v>
      </c>
      <c r="O161">
        <f t="shared" si="57"/>
        <v>0.99177158851900105</v>
      </c>
      <c r="P161">
        <f t="shared" si="58"/>
        <v>0.99182715914006792</v>
      </c>
      <c r="Q161">
        <f t="shared" si="59"/>
        <v>0.98441928828039826</v>
      </c>
      <c r="S161">
        <f t="shared" si="60"/>
        <v>146</v>
      </c>
      <c r="T161">
        <f t="shared" si="46"/>
        <v>238.80492742235339</v>
      </c>
      <c r="U161">
        <f t="shared" si="47"/>
        <v>239.5108484236487</v>
      </c>
      <c r="V161">
        <f t="shared" si="48"/>
        <v>239.55167140848269</v>
      </c>
      <c r="W161">
        <f t="shared" si="61"/>
        <v>0.74674398612930304</v>
      </c>
      <c r="X161">
        <f t="shared" si="62"/>
        <v>4.0822984833994269E-2</v>
      </c>
    </row>
    <row r="162" spans="2:24" x14ac:dyDescent="0.25">
      <c r="B162">
        <f t="shared" si="51"/>
        <v>147</v>
      </c>
      <c r="C162">
        <f t="shared" si="52"/>
        <v>239.8152513390304</v>
      </c>
      <c r="D162">
        <f t="shared" si="53"/>
        <v>0.99529207593986857</v>
      </c>
      <c r="F162">
        <f t="shared" si="49"/>
        <v>147</v>
      </c>
      <c r="G162">
        <f t="shared" si="50"/>
        <v>240.50321716655495</v>
      </c>
      <c r="H162">
        <f t="shared" si="43"/>
        <v>0.98502151658036186</v>
      </c>
      <c r="I162">
        <f t="shared" si="44"/>
        <v>241.48823868313531</v>
      </c>
      <c r="J162">
        <f t="shared" si="45"/>
        <v>0.97026733733651749</v>
      </c>
      <c r="L162">
        <f t="shared" si="54"/>
        <v>147</v>
      </c>
      <c r="M162">
        <f t="shared" si="55"/>
        <v>240.54347746575127</v>
      </c>
      <c r="N162">
        <f t="shared" si="56"/>
        <v>0.98441960378978999</v>
      </c>
      <c r="O162">
        <f t="shared" si="57"/>
        <v>0.97705303152359635</v>
      </c>
      <c r="P162">
        <f t="shared" si="58"/>
        <v>0.97710821011584059</v>
      </c>
      <c r="Q162">
        <f t="shared" si="59"/>
        <v>0.96978185290725738</v>
      </c>
      <c r="S162">
        <f t="shared" si="60"/>
        <v>147</v>
      </c>
      <c r="T162">
        <f t="shared" si="46"/>
        <v>239.8152513390304</v>
      </c>
      <c r="U162">
        <f t="shared" si="47"/>
        <v>240.50321716655495</v>
      </c>
      <c r="V162">
        <f t="shared" si="48"/>
        <v>240.54347746575127</v>
      </c>
      <c r="W162">
        <f t="shared" si="61"/>
        <v>0.72822612672086962</v>
      </c>
      <c r="X162">
        <f t="shared" si="62"/>
        <v>4.0260299196319238E-2</v>
      </c>
    </row>
    <row r="163" spans="2:24" x14ac:dyDescent="0.25">
      <c r="B163">
        <f t="shared" si="51"/>
        <v>148</v>
      </c>
      <c r="C163">
        <f t="shared" si="52"/>
        <v>240.81054341497025</v>
      </c>
      <c r="D163">
        <f t="shared" si="53"/>
        <v>0.98042439060239528</v>
      </c>
      <c r="F163">
        <f t="shared" si="49"/>
        <v>148</v>
      </c>
      <c r="G163">
        <f t="shared" si="50"/>
        <v>241.4808615935134</v>
      </c>
      <c r="H163">
        <f t="shared" si="43"/>
        <v>0.97037804877513856</v>
      </c>
      <c r="I163">
        <f t="shared" si="44"/>
        <v>242.45123964228853</v>
      </c>
      <c r="J163">
        <f t="shared" si="45"/>
        <v>0.95578756805629728</v>
      </c>
      <c r="L163">
        <f t="shared" si="54"/>
        <v>148</v>
      </c>
      <c r="M163">
        <f t="shared" si="55"/>
        <v>241.52056478908059</v>
      </c>
      <c r="N163">
        <f t="shared" si="56"/>
        <v>0.96978216640950343</v>
      </c>
      <c r="O163">
        <f t="shared" si="57"/>
        <v>0.96249720760180424</v>
      </c>
      <c r="P163">
        <f t="shared" si="58"/>
        <v>0.96255198357000071</v>
      </c>
      <c r="Q163">
        <f t="shared" si="59"/>
        <v>0.95530732684213948</v>
      </c>
      <c r="S163">
        <f t="shared" si="60"/>
        <v>148</v>
      </c>
      <c r="T163">
        <f t="shared" si="46"/>
        <v>240.81054341497025</v>
      </c>
      <c r="U163">
        <f t="shared" si="47"/>
        <v>241.4808615935134</v>
      </c>
      <c r="V163">
        <f t="shared" si="48"/>
        <v>241.52056478908059</v>
      </c>
      <c r="W163">
        <f t="shared" si="61"/>
        <v>0.71002137411034028</v>
      </c>
      <c r="X163">
        <f t="shared" si="62"/>
        <v>3.9703195567199145E-2</v>
      </c>
    </row>
    <row r="164" spans="2:24" x14ac:dyDescent="0.25">
      <c r="B164">
        <f t="shared" si="51"/>
        <v>149</v>
      </c>
      <c r="C164">
        <f t="shared" si="52"/>
        <v>241.79096780557265</v>
      </c>
      <c r="D164">
        <f t="shared" si="53"/>
        <v>0.96572136748372039</v>
      </c>
      <c r="F164">
        <f t="shared" si="49"/>
        <v>149</v>
      </c>
      <c r="G164">
        <f t="shared" si="50"/>
        <v>242.44394440192912</v>
      </c>
      <c r="H164">
        <f t="shared" si="43"/>
        <v>0.95589746525404462</v>
      </c>
      <c r="I164">
        <f t="shared" si="44"/>
        <v>243.39984186718317</v>
      </c>
      <c r="J164">
        <f t="shared" si="45"/>
        <v>0.94147098974379051</v>
      </c>
      <c r="L164">
        <f t="shared" si="54"/>
        <v>149</v>
      </c>
      <c r="M164">
        <f t="shared" si="55"/>
        <v>242.48309610167979</v>
      </c>
      <c r="N164">
        <f t="shared" si="56"/>
        <v>0.95530763827761056</v>
      </c>
      <c r="O164">
        <f t="shared" si="57"/>
        <v>0.94810445246295127</v>
      </c>
      <c r="P164">
        <f t="shared" si="58"/>
        <v>0.94815881583897144</v>
      </c>
      <c r="Q164">
        <f t="shared" si="59"/>
        <v>0.94099599290626301</v>
      </c>
      <c r="S164">
        <f t="shared" si="60"/>
        <v>149</v>
      </c>
      <c r="T164">
        <f t="shared" si="46"/>
        <v>241.79096780557265</v>
      </c>
      <c r="U164">
        <f t="shared" si="47"/>
        <v>242.44394440192912</v>
      </c>
      <c r="V164">
        <f t="shared" si="48"/>
        <v>242.48309610167979</v>
      </c>
      <c r="W164">
        <f t="shared" si="61"/>
        <v>0.69212829610714266</v>
      </c>
      <c r="X164">
        <f t="shared" si="62"/>
        <v>3.9151699750675562E-2</v>
      </c>
    </row>
    <row r="165" spans="2:24" x14ac:dyDescent="0.25">
      <c r="B165">
        <f t="shared" si="51"/>
        <v>150</v>
      </c>
      <c r="C165">
        <f t="shared" si="52"/>
        <v>242.75668917305637</v>
      </c>
      <c r="D165">
        <f t="shared" si="53"/>
        <v>0.9511833984236745</v>
      </c>
      <c r="F165">
        <f t="shared" si="49"/>
        <v>150</v>
      </c>
      <c r="G165">
        <f t="shared" si="50"/>
        <v>243.39262862942803</v>
      </c>
      <c r="H165">
        <f t="shared" si="43"/>
        <v>0.94158005298507164</v>
      </c>
      <c r="I165">
        <f t="shared" si="44"/>
        <v>244.33420868241311</v>
      </c>
      <c r="J165">
        <f t="shared" si="45"/>
        <v>0.927317785071892</v>
      </c>
      <c r="L165">
        <f t="shared" si="54"/>
        <v>150</v>
      </c>
      <c r="M165">
        <f t="shared" si="55"/>
        <v>243.43123446297776</v>
      </c>
      <c r="N165">
        <f t="shared" si="56"/>
        <v>0.94099630221822861</v>
      </c>
      <c r="O165">
        <f t="shared" si="57"/>
        <v>0.93387499659668116</v>
      </c>
      <c r="P165">
        <f t="shared" si="58"/>
        <v>0.93392893802199728</v>
      </c>
      <c r="Q165">
        <f t="shared" si="59"/>
        <v>0.92684803101025948</v>
      </c>
      <c r="S165">
        <f t="shared" si="60"/>
        <v>150</v>
      </c>
      <c r="T165">
        <f t="shared" si="46"/>
        <v>242.75668917305637</v>
      </c>
      <c r="U165">
        <f t="shared" si="47"/>
        <v>243.39262862942803</v>
      </c>
      <c r="V165">
        <f t="shared" si="48"/>
        <v>243.43123446297776</v>
      </c>
      <c r="W165">
        <f t="shared" si="61"/>
        <v>0.67454528992138307</v>
      </c>
      <c r="X165">
        <f t="shared" si="62"/>
        <v>3.8605833549723911E-2</v>
      </c>
    </row>
    <row r="166" spans="2:24" x14ac:dyDescent="0.25">
      <c r="B166">
        <f t="shared" si="51"/>
        <v>151</v>
      </c>
      <c r="C166">
        <f t="shared" si="52"/>
        <v>243.70787257148004</v>
      </c>
      <c r="D166">
        <f t="shared" si="53"/>
        <v>0.93681076522021101</v>
      </c>
      <c r="F166">
        <f t="shared" si="49"/>
        <v>151</v>
      </c>
      <c r="G166">
        <f t="shared" si="50"/>
        <v>244.32707754845651</v>
      </c>
      <c r="H166">
        <f t="shared" si="43"/>
        <v>0.92742599585626617</v>
      </c>
      <c r="I166">
        <f t="shared" si="44"/>
        <v>245.25450354431277</v>
      </c>
      <c r="J166">
        <f t="shared" si="45"/>
        <v>0.9133280382042015</v>
      </c>
      <c r="L166">
        <f t="shared" si="54"/>
        <v>151</v>
      </c>
      <c r="M166">
        <f t="shared" si="55"/>
        <v>244.36514316338872</v>
      </c>
      <c r="N166">
        <f t="shared" si="56"/>
        <v>0.92684833814482714</v>
      </c>
      <c r="O166">
        <f t="shared" si="57"/>
        <v>0.91980896987347793</v>
      </c>
      <c r="P166">
        <f t="shared" si="58"/>
        <v>0.91986248058177655</v>
      </c>
      <c r="Q166">
        <f t="shared" si="59"/>
        <v>0.91286352268507964</v>
      </c>
      <c r="S166">
        <f t="shared" si="60"/>
        <v>151</v>
      </c>
      <c r="T166">
        <f t="shared" si="46"/>
        <v>243.70787257148004</v>
      </c>
      <c r="U166">
        <f t="shared" si="47"/>
        <v>244.32707754845651</v>
      </c>
      <c r="V166">
        <f t="shared" si="48"/>
        <v>244.36514316338872</v>
      </c>
      <c r="W166">
        <f t="shared" si="61"/>
        <v>0.65727059190868431</v>
      </c>
      <c r="X166">
        <f t="shared" si="62"/>
        <v>3.8065614932207836E-2</v>
      </c>
    </row>
    <row r="167" spans="2:24" x14ac:dyDescent="0.25">
      <c r="B167">
        <f t="shared" si="51"/>
        <v>152</v>
      </c>
      <c r="C167">
        <f t="shared" si="52"/>
        <v>244.64468333670024</v>
      </c>
      <c r="D167">
        <f t="shared" si="53"/>
        <v>0.9226036444216178</v>
      </c>
      <c r="F167">
        <f t="shared" si="49"/>
        <v>152</v>
      </c>
      <c r="G167">
        <f t="shared" si="50"/>
        <v>245.24745456548675</v>
      </c>
      <c r="H167">
        <f t="shared" si="43"/>
        <v>0.91343537921155515</v>
      </c>
      <c r="I167">
        <f t="shared" si="44"/>
        <v>246.16088994469831</v>
      </c>
      <c r="J167">
        <f t="shared" si="45"/>
        <v>0.89950173919306964</v>
      </c>
      <c r="L167">
        <f t="shared" si="54"/>
        <v>152</v>
      </c>
      <c r="M167">
        <f t="shared" si="55"/>
        <v>245.28498562367878</v>
      </c>
      <c r="N167">
        <f t="shared" si="56"/>
        <v>0.91286382759115503</v>
      </c>
      <c r="O167">
        <f t="shared" si="57"/>
        <v>0.90590640600647931</v>
      </c>
      <c r="P167">
        <f t="shared" si="58"/>
        <v>0.90595947780637598</v>
      </c>
      <c r="Q167">
        <f t="shared" si="59"/>
        <v>0.89904245547544426</v>
      </c>
      <c r="S167">
        <f t="shared" si="60"/>
        <v>152</v>
      </c>
      <c r="T167">
        <f t="shared" si="46"/>
        <v>244.64468333670024</v>
      </c>
      <c r="U167">
        <f t="shared" si="47"/>
        <v>245.24745456548675</v>
      </c>
      <c r="V167">
        <f t="shared" si="48"/>
        <v>245.28498562367878</v>
      </c>
      <c r="W167">
        <f t="shared" si="61"/>
        <v>0.64030228697853886</v>
      </c>
      <c r="X167">
        <f t="shared" si="62"/>
        <v>3.7531058192030287E-2</v>
      </c>
    </row>
    <row r="168" spans="2:24" x14ac:dyDescent="0.25">
      <c r="B168">
        <f t="shared" si="51"/>
        <v>153</v>
      </c>
      <c r="C168">
        <f t="shared" si="52"/>
        <v>245.56728698112187</v>
      </c>
      <c r="D168">
        <f t="shared" si="53"/>
        <v>0.90856211197579806</v>
      </c>
      <c r="F168">
        <f t="shared" si="49"/>
        <v>153</v>
      </c>
      <c r="G168">
        <f t="shared" si="50"/>
        <v>246.15392312468907</v>
      </c>
      <c r="H168">
        <f t="shared" si="43"/>
        <v>0.89960819424902316</v>
      </c>
      <c r="I168">
        <f t="shared" si="44"/>
        <v>247.0535313189381</v>
      </c>
      <c r="J168">
        <f t="shared" si="45"/>
        <v>0.88583878824256068</v>
      </c>
      <c r="L168">
        <f t="shared" si="54"/>
        <v>153</v>
      </c>
      <c r="M168">
        <f t="shared" si="55"/>
        <v>246.19092529879416</v>
      </c>
      <c r="N168">
        <f t="shared" si="56"/>
        <v>0.89904275810468059</v>
      </c>
      <c r="O168">
        <f t="shared" si="57"/>
        <v>0.89216724687705551</v>
      </c>
      <c r="P168">
        <f t="shared" si="58"/>
        <v>0.89221987213494758</v>
      </c>
      <c r="Q168">
        <f t="shared" si="59"/>
        <v>0.88538472719835881</v>
      </c>
      <c r="S168">
        <f t="shared" si="60"/>
        <v>153</v>
      </c>
      <c r="T168">
        <f t="shared" si="46"/>
        <v>245.56728698112187</v>
      </c>
      <c r="U168">
        <f t="shared" si="47"/>
        <v>246.15392312468907</v>
      </c>
      <c r="V168">
        <f t="shared" si="48"/>
        <v>246.19092529879416</v>
      </c>
      <c r="W168">
        <f t="shared" si="61"/>
        <v>0.62363831767228817</v>
      </c>
      <c r="X168">
        <f t="shared" si="62"/>
        <v>3.7002174105083441E-2</v>
      </c>
    </row>
    <row r="169" spans="2:24" x14ac:dyDescent="0.25">
      <c r="B169">
        <f t="shared" si="51"/>
        <v>154</v>
      </c>
      <c r="C169">
        <f t="shared" si="52"/>
        <v>246.47584909309768</v>
      </c>
      <c r="D169">
        <f t="shared" si="53"/>
        <v>0.89468614773907795</v>
      </c>
      <c r="F169">
        <f t="shared" si="49"/>
        <v>154</v>
      </c>
      <c r="G169">
        <f t="shared" si="50"/>
        <v>247.04664661593486</v>
      </c>
      <c r="H169">
        <f t="shared" si="43"/>
        <v>0.88594434228416041</v>
      </c>
      <c r="I169">
        <f t="shared" si="44"/>
        <v>247.93259095821901</v>
      </c>
      <c r="J169">
        <f t="shared" si="45"/>
        <v>0.8723389998389417</v>
      </c>
      <c r="L169">
        <f t="shared" si="54"/>
        <v>154</v>
      </c>
      <c r="M169">
        <f t="shared" si="55"/>
        <v>247.08312558601534</v>
      </c>
      <c r="N169">
        <f t="shared" si="56"/>
        <v>0.88538502750509351</v>
      </c>
      <c r="O169">
        <f t="shared" si="57"/>
        <v>0.87859134672675221</v>
      </c>
      <c r="P169">
        <f t="shared" si="58"/>
        <v>0.87864351834983612</v>
      </c>
      <c r="Q169">
        <f t="shared" si="59"/>
        <v>0.87189015006927362</v>
      </c>
      <c r="S169">
        <f t="shared" si="60"/>
        <v>154</v>
      </c>
      <c r="T169">
        <f t="shared" si="46"/>
        <v>246.47584909309768</v>
      </c>
      <c r="U169">
        <f t="shared" si="47"/>
        <v>247.04664661593486</v>
      </c>
      <c r="V169">
        <f t="shared" si="48"/>
        <v>247.08312558601534</v>
      </c>
      <c r="W169">
        <f t="shared" si="61"/>
        <v>0.60727649291766284</v>
      </c>
      <c r="X169">
        <f t="shared" si="62"/>
        <v>3.6478970080480622E-2</v>
      </c>
    </row>
    <row r="170" spans="2:24" x14ac:dyDescent="0.25">
      <c r="B170">
        <f t="shared" si="51"/>
        <v>155</v>
      </c>
      <c r="C170">
        <f t="shared" si="52"/>
        <v>247.37053524083674</v>
      </c>
      <c r="D170">
        <f t="shared" si="53"/>
        <v>0.88097563984706195</v>
      </c>
      <c r="F170">
        <f t="shared" si="49"/>
        <v>155</v>
      </c>
      <c r="G170">
        <f t="shared" si="50"/>
        <v>247.92578828699641</v>
      </c>
      <c r="H170">
        <f t="shared" si="43"/>
        <v>0.87244363888069809</v>
      </c>
      <c r="I170">
        <f t="shared" si="44"/>
        <v>248.7982319258771</v>
      </c>
      <c r="J170">
        <f t="shared" si="45"/>
        <v>0.8590021067513226</v>
      </c>
      <c r="L170">
        <f t="shared" si="54"/>
        <v>155</v>
      </c>
      <c r="M170">
        <f t="shared" si="55"/>
        <v>247.96174973730328</v>
      </c>
      <c r="N170">
        <f t="shared" si="56"/>
        <v>0.87189044801048543</v>
      </c>
      <c r="O170">
        <f t="shared" si="57"/>
        <v>0.86517847621817057</v>
      </c>
      <c r="P170">
        <f t="shared" si="58"/>
        <v>0.86523018763763737</v>
      </c>
      <c r="Q170">
        <f t="shared" si="59"/>
        <v>0.85855845469853842</v>
      </c>
      <c r="S170">
        <f t="shared" si="60"/>
        <v>155</v>
      </c>
      <c r="T170">
        <f t="shared" si="46"/>
        <v>247.37053524083674</v>
      </c>
      <c r="U170">
        <f t="shared" si="47"/>
        <v>247.92578828699641</v>
      </c>
      <c r="V170">
        <f t="shared" si="48"/>
        <v>247.96174973730328</v>
      </c>
      <c r="W170">
        <f t="shared" si="61"/>
        <v>0.59121449646653446</v>
      </c>
      <c r="X170">
        <f t="shared" si="62"/>
        <v>3.5961450306871257E-2</v>
      </c>
    </row>
    <row r="171" spans="2:24" x14ac:dyDescent="0.25">
      <c r="B171">
        <f t="shared" si="51"/>
        <v>156</v>
      </c>
      <c r="C171">
        <f t="shared" si="52"/>
        <v>248.25151088068381</v>
      </c>
      <c r="D171">
        <f t="shared" si="53"/>
        <v>0.86743038895003477</v>
      </c>
      <c r="F171">
        <f t="shared" si="49"/>
        <v>156</v>
      </c>
      <c r="G171">
        <f t="shared" si="50"/>
        <v>248.79151115981242</v>
      </c>
      <c r="H171">
        <f t="shared" si="43"/>
        <v>0.85910581785159545</v>
      </c>
      <c r="I171">
        <f t="shared" si="44"/>
        <v>249.65061697766401</v>
      </c>
      <c r="J171">
        <f t="shared" si="45"/>
        <v>0.84582776390508008</v>
      </c>
      <c r="L171">
        <f t="shared" si="54"/>
        <v>156</v>
      </c>
      <c r="M171">
        <f t="shared" si="55"/>
        <v>248.82696077570671</v>
      </c>
      <c r="N171">
        <f t="shared" si="56"/>
        <v>0.85855875023379169</v>
      </c>
      <c r="O171">
        <f t="shared" si="57"/>
        <v>0.85192832636744853</v>
      </c>
      <c r="P171">
        <f t="shared" si="58"/>
        <v>0.85197957152189185</v>
      </c>
      <c r="Q171">
        <f t="shared" si="59"/>
        <v>0.84538929396079021</v>
      </c>
      <c r="S171">
        <f t="shared" si="60"/>
        <v>156</v>
      </c>
      <c r="T171">
        <f t="shared" si="46"/>
        <v>248.25151088068381</v>
      </c>
      <c r="U171">
        <f t="shared" si="47"/>
        <v>248.79151115981242</v>
      </c>
      <c r="V171">
        <f t="shared" si="48"/>
        <v>248.82696077570671</v>
      </c>
      <c r="W171">
        <f t="shared" si="61"/>
        <v>0.57544989502289923</v>
      </c>
      <c r="X171">
        <f t="shared" si="62"/>
        <v>3.5449615894293629E-2</v>
      </c>
    </row>
    <row r="172" spans="2:24" x14ac:dyDescent="0.25">
      <c r="B172">
        <f t="shared" si="51"/>
        <v>157</v>
      </c>
      <c r="C172">
        <f t="shared" si="52"/>
        <v>249.11894126963384</v>
      </c>
      <c r="D172">
        <f t="shared" si="53"/>
        <v>0.85405011231558314</v>
      </c>
      <c r="F172">
        <f t="shared" si="49"/>
        <v>157</v>
      </c>
      <c r="G172">
        <f t="shared" si="50"/>
        <v>249.64397795069075</v>
      </c>
      <c r="H172">
        <f t="shared" si="43"/>
        <v>0.84593053513290373</v>
      </c>
      <c r="I172">
        <f t="shared" si="44"/>
        <v>250.48990848582366</v>
      </c>
      <c r="J172">
        <f t="shared" si="45"/>
        <v>0.83281555213077552</v>
      </c>
      <c r="L172">
        <f t="shared" si="54"/>
        <v>157</v>
      </c>
      <c r="M172">
        <f t="shared" si="55"/>
        <v>249.67892141570226</v>
      </c>
      <c r="N172">
        <f t="shared" si="56"/>
        <v>0.84538958705216571</v>
      </c>
      <c r="O172">
        <f t="shared" si="57"/>
        <v>0.83884051235098889</v>
      </c>
      <c r="P172">
        <f t="shared" si="58"/>
        <v>0.83889128567001292</v>
      </c>
      <c r="Q172">
        <f t="shared" si="59"/>
        <v>0.83238224673990069</v>
      </c>
      <c r="S172">
        <f t="shared" si="60"/>
        <v>157</v>
      </c>
      <c r="T172">
        <f t="shared" si="46"/>
        <v>249.11894126963384</v>
      </c>
      <c r="U172">
        <f t="shared" si="47"/>
        <v>249.64397795069075</v>
      </c>
      <c r="V172">
        <f t="shared" si="48"/>
        <v>249.67892141570226</v>
      </c>
      <c r="W172">
        <f t="shared" si="61"/>
        <v>0.55998014606842617</v>
      </c>
      <c r="X172">
        <f t="shared" si="62"/>
        <v>3.4943465011508579E-2</v>
      </c>
    </row>
    <row r="173" spans="2:24" x14ac:dyDescent="0.25">
      <c r="B173">
        <f t="shared" si="51"/>
        <v>158</v>
      </c>
      <c r="C173">
        <f t="shared" si="52"/>
        <v>249.97299138194941</v>
      </c>
      <c r="D173">
        <f t="shared" si="53"/>
        <v>0.84083444780099614</v>
      </c>
      <c r="F173">
        <f t="shared" si="49"/>
        <v>158</v>
      </c>
      <c r="G173">
        <f t="shared" si="50"/>
        <v>250.48335099432259</v>
      </c>
      <c r="H173">
        <f t="shared" si="43"/>
        <v>0.8329173725330884</v>
      </c>
      <c r="I173">
        <f t="shared" si="44"/>
        <v>251.31626836685567</v>
      </c>
      <c r="J173">
        <f t="shared" si="45"/>
        <v>0.81996498179119659</v>
      </c>
      <c r="L173">
        <f t="shared" si="54"/>
        <v>158</v>
      </c>
      <c r="M173">
        <f t="shared" si="55"/>
        <v>250.51779398734126</v>
      </c>
      <c r="N173">
        <f t="shared" si="56"/>
        <v>0.83238253735195555</v>
      </c>
      <c r="O173">
        <f t="shared" si="57"/>
        <v>0.8259145771891172</v>
      </c>
      <c r="P173">
        <f t="shared" si="58"/>
        <v>0.82596487357719173</v>
      </c>
      <c r="Q173">
        <f t="shared" si="59"/>
        <v>0.8195368215522455</v>
      </c>
      <c r="S173">
        <f t="shared" si="60"/>
        <v>158</v>
      </c>
      <c r="T173">
        <f t="shared" si="46"/>
        <v>249.97299138194941</v>
      </c>
      <c r="U173">
        <f t="shared" si="47"/>
        <v>250.48335099432259</v>
      </c>
      <c r="V173">
        <f t="shared" si="48"/>
        <v>250.51779398734126</v>
      </c>
      <c r="W173">
        <f t="shared" si="61"/>
        <v>0.5448026053918511</v>
      </c>
      <c r="X173">
        <f t="shared" si="62"/>
        <v>3.4442993018672041E-2</v>
      </c>
    </row>
    <row r="174" spans="2:24" x14ac:dyDescent="0.25">
      <c r="B174">
        <f t="shared" si="51"/>
        <v>159</v>
      </c>
      <c r="C174">
        <f t="shared" si="52"/>
        <v>250.81382582975041</v>
      </c>
      <c r="D174">
        <f t="shared" si="53"/>
        <v>0.82778295769818766</v>
      </c>
      <c r="F174">
        <f t="shared" si="49"/>
        <v>159</v>
      </c>
      <c r="G174">
        <f t="shared" si="50"/>
        <v>251.30979217148473</v>
      </c>
      <c r="H174">
        <f t="shared" si="43"/>
        <v>0.82006584136058136</v>
      </c>
      <c r="I174">
        <f t="shared" si="44"/>
        <v>252.12985801284532</v>
      </c>
      <c r="J174">
        <f t="shared" si="45"/>
        <v>0.80727549628927975</v>
      </c>
      <c r="L174">
        <f t="shared" si="54"/>
        <v>159</v>
      </c>
      <c r="M174">
        <f t="shared" si="55"/>
        <v>251.34374036408073</v>
      </c>
      <c r="N174">
        <f t="shared" si="56"/>
        <v>0.81953710965194493</v>
      </c>
      <c r="O174">
        <f t="shared" si="57"/>
        <v>0.81314999530936483</v>
      </c>
      <c r="P174">
        <f t="shared" si="58"/>
        <v>0.81319981012990894</v>
      </c>
      <c r="Q174">
        <f t="shared" si="59"/>
        <v>0.80685246005092626</v>
      </c>
      <c r="S174">
        <f t="shared" si="60"/>
        <v>159</v>
      </c>
      <c r="T174">
        <f t="shared" si="46"/>
        <v>250.81382582975041</v>
      </c>
      <c r="U174">
        <f t="shared" si="47"/>
        <v>251.30979217148473</v>
      </c>
      <c r="V174">
        <f t="shared" si="48"/>
        <v>251.34374036408073</v>
      </c>
      <c r="W174">
        <f t="shared" si="61"/>
        <v>0.52991453433031666</v>
      </c>
      <c r="X174">
        <f t="shared" si="62"/>
        <v>3.3948192596000126E-2</v>
      </c>
    </row>
    <row r="175" spans="2:24" x14ac:dyDescent="0.25">
      <c r="B175">
        <f t="shared" si="51"/>
        <v>160</v>
      </c>
      <c r="C175">
        <f t="shared" si="52"/>
        <v>251.6416087874486</v>
      </c>
      <c r="D175">
        <f t="shared" si="53"/>
        <v>0.81489513245374745</v>
      </c>
      <c r="F175">
        <f t="shared" si="49"/>
        <v>160</v>
      </c>
      <c r="G175">
        <f t="shared" si="50"/>
        <v>252.12346284030966</v>
      </c>
      <c r="H175">
        <f t="shared" si="43"/>
        <v>0.80737538593216807</v>
      </c>
      <c r="I175">
        <f t="shared" si="44"/>
        <v>252.93083822624183</v>
      </c>
      <c r="J175">
        <f t="shared" si="45"/>
        <v>0.79474647545957655</v>
      </c>
      <c r="L175">
        <f t="shared" si="54"/>
        <v>160</v>
      </c>
      <c r="M175">
        <f t="shared" si="55"/>
        <v>252.15692189417763</v>
      </c>
      <c r="N175">
        <f t="shared" si="56"/>
        <v>0.80685274560758347</v>
      </c>
      <c r="O175">
        <f t="shared" si="57"/>
        <v>0.80054617599205169</v>
      </c>
      <c r="P175">
        <f t="shared" si="58"/>
        <v>0.80059550505180044</v>
      </c>
      <c r="Q175">
        <f t="shared" si="59"/>
        <v>0.79432854041365575</v>
      </c>
      <c r="S175">
        <f t="shared" si="60"/>
        <v>160</v>
      </c>
      <c r="T175">
        <f t="shared" si="46"/>
        <v>251.6416087874486</v>
      </c>
      <c r="U175">
        <f t="shared" si="47"/>
        <v>252.12346284030966</v>
      </c>
      <c r="V175">
        <f t="shared" si="48"/>
        <v>252.15692189417763</v>
      </c>
      <c r="W175">
        <f t="shared" si="61"/>
        <v>0.51531310672902464</v>
      </c>
      <c r="X175">
        <f t="shared" si="62"/>
        <v>3.3459053867971988E-2</v>
      </c>
    </row>
    <row r="176" spans="2:24" x14ac:dyDescent="0.25">
      <c r="B176">
        <f t="shared" si="51"/>
        <v>161</v>
      </c>
      <c r="C176">
        <f t="shared" si="52"/>
        <v>252.45650391990236</v>
      </c>
      <c r="D176">
        <f t="shared" si="53"/>
        <v>0.80217039426690384</v>
      </c>
      <c r="F176">
        <f t="shared" si="49"/>
        <v>161</v>
      </c>
      <c r="G176">
        <f t="shared" si="50"/>
        <v>252.92452377100554</v>
      </c>
      <c r="H176">
        <f t="shared" si="43"/>
        <v>0.79484538696498663</v>
      </c>
      <c r="I176">
        <f t="shared" si="44"/>
        <v>253.71936915797053</v>
      </c>
      <c r="J176">
        <f t="shared" si="45"/>
        <v>0.78237723884595478</v>
      </c>
      <c r="L176">
        <f t="shared" si="54"/>
        <v>161</v>
      </c>
      <c r="M176">
        <f t="shared" si="55"/>
        <v>252.95749933552912</v>
      </c>
      <c r="N176">
        <f t="shared" si="56"/>
        <v>0.79432882339887667</v>
      </c>
      <c r="O176">
        <f t="shared" si="57"/>
        <v>0.78810246670088413</v>
      </c>
      <c r="P176">
        <f t="shared" si="58"/>
        <v>0.78815130623450003</v>
      </c>
      <c r="Q176">
        <f t="shared" si="59"/>
        <v>0.78196438061700602</v>
      </c>
      <c r="S176">
        <f t="shared" si="60"/>
        <v>161</v>
      </c>
      <c r="T176">
        <f t="shared" si="46"/>
        <v>252.45650391990236</v>
      </c>
      <c r="U176">
        <f t="shared" si="47"/>
        <v>252.92452377100554</v>
      </c>
      <c r="V176">
        <f t="shared" si="48"/>
        <v>252.95749933552912</v>
      </c>
      <c r="W176">
        <f t="shared" si="61"/>
        <v>0.50099541562676109</v>
      </c>
      <c r="X176">
        <f t="shared" si="62"/>
        <v>3.2975564523582079E-2</v>
      </c>
    </row>
    <row r="177" spans="2:24" x14ac:dyDescent="0.25">
      <c r="B177">
        <f t="shared" si="51"/>
        <v>162</v>
      </c>
      <c r="C177">
        <f t="shared" si="52"/>
        <v>253.25867431416927</v>
      </c>
      <c r="D177">
        <f t="shared" si="53"/>
        <v>0.78960810056804542</v>
      </c>
      <c r="F177">
        <f t="shared" si="49"/>
        <v>162</v>
      </c>
      <c r="G177">
        <f t="shared" si="50"/>
        <v>253.713135083911</v>
      </c>
      <c r="H177">
        <f t="shared" si="43"/>
        <v>0.78247516485477409</v>
      </c>
      <c r="I177">
        <f t="shared" si="44"/>
        <v>254.49561024876579</v>
      </c>
      <c r="J177">
        <f t="shared" si="45"/>
        <v>0.77016704886824572</v>
      </c>
      <c r="L177">
        <f t="shared" si="54"/>
        <v>162</v>
      </c>
      <c r="M177">
        <f t="shared" si="55"/>
        <v>253.74563279384355</v>
      </c>
      <c r="N177">
        <f t="shared" si="56"/>
        <v>0.78196466100463169</v>
      </c>
      <c r="O177">
        <f t="shared" si="57"/>
        <v>0.77581815630126805</v>
      </c>
      <c r="P177">
        <f t="shared" si="58"/>
        <v>0.77586650295623394</v>
      </c>
      <c r="Q177">
        <f t="shared" si="59"/>
        <v>0.76975924159971953</v>
      </c>
      <c r="S177">
        <f t="shared" si="60"/>
        <v>162</v>
      </c>
      <c r="T177">
        <f t="shared" si="46"/>
        <v>253.25867431416927</v>
      </c>
      <c r="U177">
        <f t="shared" si="47"/>
        <v>253.713135083911</v>
      </c>
      <c r="V177">
        <f t="shared" si="48"/>
        <v>253.74563279384355</v>
      </c>
      <c r="W177">
        <f t="shared" si="61"/>
        <v>0.48695847967428563</v>
      </c>
      <c r="X177">
        <f t="shared" si="62"/>
        <v>3.2497709932556518E-2</v>
      </c>
    </row>
    <row r="178" spans="2:24" x14ac:dyDescent="0.25">
      <c r="B178">
        <f t="shared" si="51"/>
        <v>163</v>
      </c>
      <c r="C178">
        <f t="shared" si="52"/>
        <v>254.04828241473732</v>
      </c>
      <c r="D178">
        <f t="shared" si="53"/>
        <v>0.7772075473805734</v>
      </c>
      <c r="F178">
        <f t="shared" si="49"/>
        <v>163</v>
      </c>
      <c r="G178">
        <f t="shared" si="50"/>
        <v>254.4894561907725</v>
      </c>
      <c r="H178">
        <f t="shared" si="43"/>
        <v>0.77026398284305497</v>
      </c>
      <c r="I178">
        <f t="shared" si="44"/>
        <v>255.25972017361556</v>
      </c>
      <c r="J178">
        <f t="shared" si="45"/>
        <v>0.75811511388050101</v>
      </c>
      <c r="L178">
        <f t="shared" si="54"/>
        <v>163</v>
      </c>
      <c r="M178">
        <f t="shared" si="55"/>
        <v>254.52148166403012</v>
      </c>
      <c r="N178">
        <f t="shared" si="56"/>
        <v>0.76975951936576126</v>
      </c>
      <c r="O178">
        <f t="shared" si="57"/>
        <v>0.76369247816897812</v>
      </c>
      <c r="P178">
        <f t="shared" si="58"/>
        <v>0.76374032899078415</v>
      </c>
      <c r="Q178">
        <f t="shared" si="59"/>
        <v>0.75771233031770002</v>
      </c>
      <c r="S178">
        <f t="shared" si="60"/>
        <v>163</v>
      </c>
      <c r="T178">
        <f t="shared" si="46"/>
        <v>254.04828241473732</v>
      </c>
      <c r="U178">
        <f t="shared" si="47"/>
        <v>254.4894561907725</v>
      </c>
      <c r="V178">
        <f t="shared" si="48"/>
        <v>254.52148166403012</v>
      </c>
      <c r="W178">
        <f t="shared" si="61"/>
        <v>0.47319924929280432</v>
      </c>
      <c r="X178">
        <f t="shared" si="62"/>
        <v>3.2025473257618842E-2</v>
      </c>
    </row>
    <row r="179" spans="2:24" x14ac:dyDescent="0.25">
      <c r="B179">
        <f t="shared" si="51"/>
        <v>164</v>
      </c>
      <c r="C179">
        <f t="shared" si="52"/>
        <v>254.8254899621179</v>
      </c>
      <c r="D179">
        <f t="shared" si="53"/>
        <v>0.76496797256874871</v>
      </c>
      <c r="F179">
        <f t="shared" si="49"/>
        <v>164</v>
      </c>
      <c r="G179">
        <f t="shared" si="50"/>
        <v>255.25364573913427</v>
      </c>
      <c r="H179">
        <f t="shared" si="43"/>
        <v>0.75821105007598777</v>
      </c>
      <c r="I179">
        <f t="shared" si="44"/>
        <v>256.01185678921024</v>
      </c>
      <c r="J179">
        <f t="shared" si="45"/>
        <v>0.74622059112351702</v>
      </c>
      <c r="L179">
        <f t="shared" si="54"/>
        <v>164</v>
      </c>
      <c r="M179">
        <f t="shared" si="55"/>
        <v>255.28520457469727</v>
      </c>
      <c r="N179">
        <f t="shared" si="56"/>
        <v>0.75771260544028529</v>
      </c>
      <c r="O179">
        <f t="shared" si="57"/>
        <v>0.75172461319188588</v>
      </c>
      <c r="P179">
        <f t="shared" si="58"/>
        <v>0.75177196560949688</v>
      </c>
      <c r="Q179">
        <f t="shared" si="59"/>
        <v>0.74582280269343082</v>
      </c>
      <c r="S179">
        <f t="shared" si="60"/>
        <v>164</v>
      </c>
      <c r="T179">
        <f t="shared" si="46"/>
        <v>254.8254899621179</v>
      </c>
      <c r="U179">
        <f t="shared" si="47"/>
        <v>255.25364573913427</v>
      </c>
      <c r="V179">
        <f t="shared" si="48"/>
        <v>255.28520457469727</v>
      </c>
      <c r="W179">
        <f t="shared" si="61"/>
        <v>0.45971461257937563</v>
      </c>
      <c r="X179">
        <f t="shared" si="62"/>
        <v>3.1558835563004095E-2</v>
      </c>
    </row>
    <row r="180" spans="2:24" x14ac:dyDescent="0.25">
      <c r="B180">
        <f t="shared" si="51"/>
        <v>165</v>
      </c>
      <c r="C180">
        <f t="shared" si="52"/>
        <v>255.59045793468664</v>
      </c>
      <c r="D180">
        <f t="shared" si="53"/>
        <v>0.7528885589742853</v>
      </c>
      <c r="F180">
        <f t="shared" si="49"/>
        <v>165</v>
      </c>
      <c r="G180">
        <f t="shared" si="50"/>
        <v>256.005861559734</v>
      </c>
      <c r="H180">
        <f t="shared" si="43"/>
        <v>0.74631552455746175</v>
      </c>
      <c r="I180">
        <f t="shared" si="44"/>
        <v>256.75217708429147</v>
      </c>
      <c r="J180">
        <f t="shared" si="45"/>
        <v>0.73448258957429402</v>
      </c>
      <c r="L180">
        <f t="shared" si="54"/>
        <v>165</v>
      </c>
      <c r="M180">
        <f t="shared" si="55"/>
        <v>256.03695933565336</v>
      </c>
      <c r="N180">
        <f t="shared" si="56"/>
        <v>0.74582307515274004</v>
      </c>
      <c r="O180">
        <f t="shared" si="57"/>
        <v>0.73991369266739326</v>
      </c>
      <c r="P180">
        <f t="shared" si="58"/>
        <v>0.73996054447901116</v>
      </c>
      <c r="Q180">
        <f t="shared" si="59"/>
        <v>0.73408976646237101</v>
      </c>
      <c r="S180">
        <f t="shared" si="60"/>
        <v>165</v>
      </c>
      <c r="T180">
        <f t="shared" si="46"/>
        <v>255.59045793468664</v>
      </c>
      <c r="U180">
        <f t="shared" si="47"/>
        <v>256.005861559734</v>
      </c>
      <c r="V180">
        <f t="shared" si="48"/>
        <v>256.03695933565336</v>
      </c>
      <c r="W180">
        <f t="shared" si="61"/>
        <v>0.4465014009667243</v>
      </c>
      <c r="X180">
        <f t="shared" si="62"/>
        <v>3.1097775919363357E-2</v>
      </c>
    </row>
    <row r="181" spans="2:24" x14ac:dyDescent="0.25">
      <c r="B181">
        <f t="shared" si="51"/>
        <v>166</v>
      </c>
      <c r="C181">
        <f t="shared" si="52"/>
        <v>256.34334649366093</v>
      </c>
      <c r="D181">
        <f t="shared" si="53"/>
        <v>0.74096843744435181</v>
      </c>
      <c r="F181">
        <f t="shared" si="49"/>
        <v>166</v>
      </c>
      <c r="G181">
        <f t="shared" si="50"/>
        <v>256.74626061679987</v>
      </c>
      <c r="H181">
        <f t="shared" si="43"/>
        <v>0.73457651599915286</v>
      </c>
      <c r="I181">
        <f t="shared" si="44"/>
        <v>257.48083713279902</v>
      </c>
      <c r="J181">
        <f t="shared" si="45"/>
        <v>0.72290017269501183</v>
      </c>
      <c r="L181">
        <f t="shared" si="54"/>
        <v>166</v>
      </c>
      <c r="M181">
        <f t="shared" si="55"/>
        <v>256.77690288830468</v>
      </c>
      <c r="N181">
        <f t="shared" si="56"/>
        <v>0.73409003624057567</v>
      </c>
      <c r="O181">
        <f t="shared" si="57"/>
        <v>0.72825880109817698</v>
      </c>
      <c r="P181">
        <f t="shared" si="58"/>
        <v>0.72830515045731592</v>
      </c>
      <c r="Q181">
        <f t="shared" si="59"/>
        <v>0.72251228391900957</v>
      </c>
      <c r="S181">
        <f t="shared" si="60"/>
        <v>166</v>
      </c>
      <c r="T181">
        <f t="shared" si="46"/>
        <v>256.34334649366093</v>
      </c>
      <c r="U181">
        <f t="shared" si="47"/>
        <v>256.74626061679987</v>
      </c>
      <c r="V181">
        <f t="shared" si="48"/>
        <v>256.77690288830468</v>
      </c>
      <c r="W181">
        <f t="shared" si="61"/>
        <v>0.43355639464374462</v>
      </c>
      <c r="X181">
        <f t="shared" si="62"/>
        <v>3.064227150480292E-2</v>
      </c>
    </row>
    <row r="182" spans="2:24" x14ac:dyDescent="0.25">
      <c r="B182">
        <f t="shared" si="51"/>
        <v>167</v>
      </c>
      <c r="C182">
        <f t="shared" si="52"/>
        <v>257.08431493110527</v>
      </c>
      <c r="D182">
        <f t="shared" si="53"/>
        <v>0.72920668975370417</v>
      </c>
      <c r="F182">
        <f t="shared" si="49"/>
        <v>167</v>
      </c>
      <c r="G182">
        <f t="shared" si="50"/>
        <v>257.47499896114698</v>
      </c>
      <c r="H182">
        <f t="shared" si="43"/>
        <v>0.72299308857010525</v>
      </c>
      <c r="I182">
        <f t="shared" si="44"/>
        <v>258.19799204971707</v>
      </c>
      <c r="J182">
        <f t="shared" si="45"/>
        <v>0.71147236108414869</v>
      </c>
      <c r="L182">
        <f t="shared" si="54"/>
        <v>167</v>
      </c>
      <c r="M182">
        <f t="shared" si="55"/>
        <v>257.50519125884978</v>
      </c>
      <c r="N182">
        <f t="shared" si="56"/>
        <v>0.72251255100022405</v>
      </c>
      <c r="O182">
        <f t="shared" si="57"/>
        <v>0.71675897888888873</v>
      </c>
      <c r="P182">
        <f t="shared" si="58"/>
        <v>0.71680482429073911</v>
      </c>
      <c r="Q182">
        <f t="shared" si="59"/>
        <v>0.7110893745651482</v>
      </c>
      <c r="S182">
        <f t="shared" si="60"/>
        <v>167</v>
      </c>
      <c r="T182">
        <f t="shared" si="46"/>
        <v>257.08431493110527</v>
      </c>
      <c r="U182">
        <f t="shared" si="47"/>
        <v>257.47499896114698</v>
      </c>
      <c r="V182">
        <f t="shared" si="48"/>
        <v>257.50519125884978</v>
      </c>
      <c r="W182">
        <f t="shared" si="61"/>
        <v>0.42087632774450867</v>
      </c>
      <c r="X182">
        <f t="shared" si="62"/>
        <v>3.0192297702797077E-2</v>
      </c>
    </row>
    <row r="183" spans="2:24" x14ac:dyDescent="0.25">
      <c r="B183">
        <f t="shared" si="51"/>
        <v>168</v>
      </c>
      <c r="C183">
        <f t="shared" si="52"/>
        <v>257.81352162085898</v>
      </c>
      <c r="D183">
        <f t="shared" si="53"/>
        <v>0.71760235142357487</v>
      </c>
      <c r="F183">
        <f t="shared" si="49"/>
        <v>168</v>
      </c>
      <c r="G183">
        <f t="shared" si="50"/>
        <v>258.19223168597409</v>
      </c>
      <c r="H183">
        <f t="shared" si="43"/>
        <v>0.71156426354846436</v>
      </c>
      <c r="I183">
        <f t="shared" si="44"/>
        <v>258.90379594952253</v>
      </c>
      <c r="J183">
        <f t="shared" si="45"/>
        <v>0.7001981350323162</v>
      </c>
      <c r="L183">
        <f t="shared" si="54"/>
        <v>168</v>
      </c>
      <c r="M183">
        <f t="shared" si="55"/>
        <v>258.22197951417053</v>
      </c>
      <c r="N183">
        <f t="shared" si="56"/>
        <v>0.71108963893535893</v>
      </c>
      <c r="O183">
        <f t="shared" si="57"/>
        <v>0.70541322494636016</v>
      </c>
      <c r="P183">
        <f t="shared" si="58"/>
        <v>0.70545856521447048</v>
      </c>
      <c r="Q183">
        <f t="shared" si="59"/>
        <v>0.6998200176629753</v>
      </c>
      <c r="S183">
        <f t="shared" si="60"/>
        <v>168</v>
      </c>
      <c r="T183">
        <f t="shared" si="46"/>
        <v>257.81352162085898</v>
      </c>
      <c r="U183">
        <f t="shared" si="47"/>
        <v>258.19223168597409</v>
      </c>
      <c r="V183">
        <f t="shared" si="48"/>
        <v>258.22197951417053</v>
      </c>
      <c r="W183">
        <f t="shared" si="61"/>
        <v>0.40845789331154947</v>
      </c>
      <c r="X183">
        <f t="shared" si="62"/>
        <v>2.9747828196434511E-2</v>
      </c>
    </row>
    <row r="184" spans="2:24" x14ac:dyDescent="0.25">
      <c r="B184">
        <f t="shared" si="51"/>
        <v>169</v>
      </c>
      <c r="C184">
        <f t="shared" si="52"/>
        <v>258.53112397228256</v>
      </c>
      <c r="D184">
        <f t="shared" si="53"/>
        <v>0.70615441443997395</v>
      </c>
      <c r="F184">
        <f t="shared" si="49"/>
        <v>169</v>
      </c>
      <c r="G184">
        <f t="shared" si="50"/>
        <v>258.89811288526448</v>
      </c>
      <c r="H184">
        <f t="shared" si="43"/>
        <v>0.70028902187791209</v>
      </c>
      <c r="I184">
        <f t="shared" si="44"/>
        <v>259.59840190714237</v>
      </c>
      <c r="J184">
        <f t="shared" si="45"/>
        <v>0.68907643698530174</v>
      </c>
      <c r="L184">
        <f t="shared" si="54"/>
        <v>169</v>
      </c>
      <c r="M184">
        <f t="shared" si="55"/>
        <v>258.92742172032388</v>
      </c>
      <c r="N184">
        <f t="shared" si="56"/>
        <v>0.69982027930998547</v>
      </c>
      <c r="O184">
        <f t="shared" si="57"/>
        <v>0.69422049918587025</v>
      </c>
      <c r="P184">
        <f t="shared" si="58"/>
        <v>0.69426533345913088</v>
      </c>
      <c r="Q184">
        <f t="shared" si="59"/>
        <v>0.68870315469547294</v>
      </c>
      <c r="S184">
        <f t="shared" si="60"/>
        <v>169</v>
      </c>
      <c r="T184">
        <f t="shared" si="46"/>
        <v>258.53112397228256</v>
      </c>
      <c r="U184">
        <f t="shared" si="47"/>
        <v>258.89811288526448</v>
      </c>
      <c r="V184">
        <f t="shared" si="48"/>
        <v>258.92742172032388</v>
      </c>
      <c r="W184">
        <f t="shared" si="61"/>
        <v>0.39629774804132012</v>
      </c>
      <c r="X184">
        <f t="shared" si="62"/>
        <v>2.9308835059396188E-2</v>
      </c>
    </row>
    <row r="185" spans="2:24" x14ac:dyDescent="0.25">
      <c r="B185">
        <f t="shared" si="51"/>
        <v>170</v>
      </c>
      <c r="C185">
        <f t="shared" si="52"/>
        <v>259.23727838672255</v>
      </c>
      <c r="D185">
        <f t="shared" si="53"/>
        <v>0.69486182987403688</v>
      </c>
      <c r="F185">
        <f t="shared" si="49"/>
        <v>170</v>
      </c>
      <c r="G185">
        <f t="shared" si="50"/>
        <v>259.59279561469612</v>
      </c>
      <c r="H185">
        <f t="shared" si="43"/>
        <v>0.68916630663134848</v>
      </c>
      <c r="I185">
        <f t="shared" si="44"/>
        <v>260.28196192132748</v>
      </c>
      <c r="J185">
        <f t="shared" si="45"/>
        <v>0.67810617391689543</v>
      </c>
      <c r="L185">
        <f t="shared" si="54"/>
        <v>170</v>
      </c>
      <c r="M185">
        <f t="shared" si="55"/>
        <v>259.62167090353978</v>
      </c>
      <c r="N185">
        <f t="shared" si="56"/>
        <v>0.6887034136088489</v>
      </c>
      <c r="O185">
        <f t="shared" si="57"/>
        <v>0.6831797249460082</v>
      </c>
      <c r="P185">
        <f t="shared" si="58"/>
        <v>0.68322405266594677</v>
      </c>
      <c r="Q185">
        <f t="shared" si="59"/>
        <v>0.67773769173665233</v>
      </c>
      <c r="S185">
        <f t="shared" si="60"/>
        <v>170</v>
      </c>
      <c r="T185">
        <f t="shared" si="46"/>
        <v>259.23727838672255</v>
      </c>
      <c r="U185">
        <f t="shared" si="47"/>
        <v>259.59279561469612</v>
      </c>
      <c r="V185">
        <f t="shared" si="48"/>
        <v>259.62167090353978</v>
      </c>
      <c r="W185">
        <f t="shared" si="61"/>
        <v>0.38439251681722908</v>
      </c>
      <c r="X185">
        <f t="shared" si="62"/>
        <v>2.8875288843664748E-2</v>
      </c>
    </row>
    <row r="186" spans="2:24" x14ac:dyDescent="0.25">
      <c r="B186">
        <f t="shared" si="51"/>
        <v>171</v>
      </c>
      <c r="C186">
        <f t="shared" si="52"/>
        <v>259.93214021659657</v>
      </c>
      <c r="D186">
        <f t="shared" si="53"/>
        <v>0.6837235104069842</v>
      </c>
      <c r="F186">
        <f t="shared" si="49"/>
        <v>171</v>
      </c>
      <c r="G186">
        <f t="shared" si="50"/>
        <v>260.27643185497021</v>
      </c>
      <c r="H186">
        <f t="shared" si="43"/>
        <v>0.6781950253843223</v>
      </c>
      <c r="I186">
        <f t="shared" si="44"/>
        <v>260.95462688035451</v>
      </c>
      <c r="J186">
        <f t="shared" si="45"/>
        <v>0.66728621961390922</v>
      </c>
      <c r="L186">
        <f t="shared" si="54"/>
        <v>171</v>
      </c>
      <c r="M186">
        <f t="shared" si="55"/>
        <v>260.30487901363466</v>
      </c>
      <c r="N186">
        <f t="shared" si="56"/>
        <v>0.67773794790766184</v>
      </c>
      <c r="O186">
        <f t="shared" si="57"/>
        <v>0.67228979131460453</v>
      </c>
      <c r="P186">
        <f t="shared" si="58"/>
        <v>0.67233361221299648</v>
      </c>
      <c r="Q186">
        <f t="shared" si="59"/>
        <v>0.66692250173410395</v>
      </c>
      <c r="S186">
        <f t="shared" si="60"/>
        <v>171</v>
      </c>
      <c r="T186">
        <f t="shared" si="46"/>
        <v>259.93214021659657</v>
      </c>
      <c r="U186">
        <f t="shared" si="47"/>
        <v>260.27643185497021</v>
      </c>
      <c r="V186">
        <f t="shared" si="48"/>
        <v>260.30487901363466</v>
      </c>
      <c r="W186">
        <f t="shared" si="61"/>
        <v>0.37273879703809598</v>
      </c>
      <c r="X186">
        <f t="shared" si="62"/>
        <v>2.844715866444858E-2</v>
      </c>
    </row>
    <row r="187" spans="2:24" x14ac:dyDescent="0.25">
      <c r="B187">
        <f t="shared" si="51"/>
        <v>172</v>
      </c>
      <c r="C187">
        <f t="shared" si="52"/>
        <v>260.61586372700356</v>
      </c>
      <c r="D187">
        <f t="shared" si="53"/>
        <v>0.67273833276226136</v>
      </c>
      <c r="F187">
        <f t="shared" si="49"/>
        <v>172</v>
      </c>
      <c r="G187">
        <f t="shared" si="50"/>
        <v>260.94917247746935</v>
      </c>
      <c r="H187">
        <f t="shared" si="43"/>
        <v>0.66737405250066784</v>
      </c>
      <c r="I187">
        <f t="shared" si="44"/>
        <v>261.61654652997004</v>
      </c>
      <c r="J187">
        <f t="shared" si="45"/>
        <v>0.65661541687584957</v>
      </c>
      <c r="L187">
        <f t="shared" si="54"/>
        <v>172</v>
      </c>
      <c r="M187">
        <f t="shared" si="55"/>
        <v>260.97719688975081</v>
      </c>
      <c r="N187">
        <f t="shared" si="56"/>
        <v>0.6669227551556649</v>
      </c>
      <c r="O187">
        <f t="shared" si="57"/>
        <v>0.66154955536818916</v>
      </c>
      <c r="P187">
        <f t="shared" si="58"/>
        <v>0.66159286945495821</v>
      </c>
      <c r="Q187">
        <f t="shared" si="59"/>
        <v>0.65625642670627771</v>
      </c>
      <c r="S187">
        <f t="shared" si="60"/>
        <v>172</v>
      </c>
      <c r="T187">
        <f t="shared" si="46"/>
        <v>260.61586372700356</v>
      </c>
      <c r="U187">
        <f t="shared" si="47"/>
        <v>260.94917247746935</v>
      </c>
      <c r="V187">
        <f t="shared" si="48"/>
        <v>260.97719688975081</v>
      </c>
      <c r="W187">
        <f t="shared" si="61"/>
        <v>0.36133316274725757</v>
      </c>
      <c r="X187">
        <f t="shared" si="62"/>
        <v>2.8024412281467903E-2</v>
      </c>
    </row>
    <row r="188" spans="2:24" x14ac:dyDescent="0.25">
      <c r="B188">
        <f t="shared" si="51"/>
        <v>173</v>
      </c>
      <c r="C188">
        <f t="shared" si="52"/>
        <v>261.28860205976582</v>
      </c>
      <c r="D188">
        <f t="shared" si="53"/>
        <v>0.66190514004739076</v>
      </c>
      <c r="F188">
        <f t="shared" si="49"/>
        <v>173</v>
      </c>
      <c r="G188">
        <f t="shared" si="50"/>
        <v>261.61116721215762</v>
      </c>
      <c r="H188">
        <f t="shared" si="43"/>
        <v>0.65670223133282035</v>
      </c>
      <c r="I188">
        <f t="shared" si="44"/>
        <v>262.26786944349044</v>
      </c>
      <c r="J188">
        <f t="shared" si="45"/>
        <v>0.64609257963165301</v>
      </c>
      <c r="L188">
        <f t="shared" si="54"/>
        <v>173</v>
      </c>
      <c r="M188">
        <f t="shared" si="55"/>
        <v>261.63877422833554</v>
      </c>
      <c r="N188">
        <f t="shared" si="56"/>
        <v>0.65625667737289184</v>
      </c>
      <c r="O188">
        <f t="shared" si="57"/>
        <v>0.65095784432737558</v>
      </c>
      <c r="P188">
        <f t="shared" si="58"/>
        <v>0.65100065187883427</v>
      </c>
      <c r="Q188">
        <f t="shared" si="59"/>
        <v>0.64573827985688304</v>
      </c>
      <c r="S188">
        <f t="shared" si="60"/>
        <v>173</v>
      </c>
      <c r="T188">
        <f t="shared" si="46"/>
        <v>261.28860205976582</v>
      </c>
      <c r="U188">
        <f t="shared" si="47"/>
        <v>261.61116721215762</v>
      </c>
      <c r="V188">
        <f t="shared" si="48"/>
        <v>261.63877422833554</v>
      </c>
      <c r="W188">
        <f t="shared" si="61"/>
        <v>0.35017216856971345</v>
      </c>
      <c r="X188">
        <f t="shared" si="62"/>
        <v>2.7607016177910282E-2</v>
      </c>
    </row>
    <row r="189" spans="2:24" x14ac:dyDescent="0.25">
      <c r="B189">
        <f t="shared" si="51"/>
        <v>174</v>
      </c>
      <c r="C189">
        <f t="shared" si="52"/>
        <v>261.95050719981322</v>
      </c>
      <c r="D189">
        <f t="shared" si="53"/>
        <v>0.65122274400801972</v>
      </c>
      <c r="F189">
        <f t="shared" si="49"/>
        <v>174</v>
      </c>
      <c r="G189">
        <f t="shared" si="50"/>
        <v>262.26256461763984</v>
      </c>
      <c r="H189">
        <f t="shared" si="43"/>
        <v>0.6461783763391491</v>
      </c>
      <c r="I189">
        <f t="shared" si="44"/>
        <v>262.90874299397899</v>
      </c>
      <c r="J189">
        <f t="shared" si="45"/>
        <v>0.6357164949758275</v>
      </c>
      <c r="L189">
        <f t="shared" si="54"/>
        <v>174</v>
      </c>
      <c r="M189">
        <f t="shared" si="55"/>
        <v>262.28975955327593</v>
      </c>
      <c r="N189">
        <f t="shared" si="56"/>
        <v>0.64573852776459384</v>
      </c>
      <c r="O189">
        <f t="shared" si="57"/>
        <v>0.64051345763058354</v>
      </c>
      <c r="P189">
        <f t="shared" si="58"/>
        <v>0.64055575917794871</v>
      </c>
      <c r="Q189">
        <f t="shared" si="59"/>
        <v>0.63536684760879913</v>
      </c>
      <c r="S189">
        <f t="shared" si="60"/>
        <v>174</v>
      </c>
      <c r="T189">
        <f t="shared" si="46"/>
        <v>261.95050719981322</v>
      </c>
      <c r="U189">
        <f t="shared" si="47"/>
        <v>262.26256461763984</v>
      </c>
      <c r="V189">
        <f t="shared" si="48"/>
        <v>262.28975955327593</v>
      </c>
      <c r="W189">
        <f t="shared" si="61"/>
        <v>0.33925235346271165</v>
      </c>
      <c r="X189">
        <f t="shared" si="62"/>
        <v>2.7194935636089212E-2</v>
      </c>
    </row>
    <row r="190" spans="2:24" x14ac:dyDescent="0.25">
      <c r="B190">
        <f t="shared" si="51"/>
        <v>175</v>
      </c>
      <c r="C190">
        <f t="shared" si="52"/>
        <v>262.60172994382123</v>
      </c>
      <c r="D190">
        <f t="shared" si="53"/>
        <v>0.64068992719662243</v>
      </c>
      <c r="F190">
        <f t="shared" si="49"/>
        <v>175</v>
      </c>
      <c r="G190">
        <f t="shared" si="50"/>
        <v>262.90351205329733</v>
      </c>
      <c r="H190">
        <f t="shared" si="43"/>
        <v>0.63580127512071272</v>
      </c>
      <c r="I190">
        <f t="shared" si="44"/>
        <v>263.53931332841807</v>
      </c>
      <c r="J190">
        <f t="shared" si="45"/>
        <v>0.62548592512631052</v>
      </c>
      <c r="L190">
        <f t="shared" si="54"/>
        <v>175</v>
      </c>
      <c r="M190">
        <f t="shared" si="55"/>
        <v>262.93030018810765</v>
      </c>
      <c r="N190">
        <f t="shared" si="56"/>
        <v>0.63536709275512637</v>
      </c>
      <c r="O190">
        <f t="shared" si="57"/>
        <v>0.63021516892838825</v>
      </c>
      <c r="P190">
        <f t="shared" si="58"/>
        <v>0.63025696524662955</v>
      </c>
      <c r="Q190">
        <f t="shared" si="59"/>
        <v>0.62514089155976393</v>
      </c>
      <c r="S190">
        <f t="shared" si="60"/>
        <v>175</v>
      </c>
      <c r="T190">
        <f t="shared" si="46"/>
        <v>262.60172994382123</v>
      </c>
      <c r="U190">
        <f t="shared" si="47"/>
        <v>262.90351205329733</v>
      </c>
      <c r="V190">
        <f t="shared" si="48"/>
        <v>262.93030018810765</v>
      </c>
      <c r="W190">
        <f t="shared" si="61"/>
        <v>0.3285702442864249</v>
      </c>
      <c r="X190">
        <f t="shared" si="62"/>
        <v>2.6788134810317388E-2</v>
      </c>
    </row>
    <row r="191" spans="2:24" x14ac:dyDescent="0.25">
      <c r="B191">
        <f t="shared" si="51"/>
        <v>176</v>
      </c>
      <c r="C191">
        <f t="shared" si="52"/>
        <v>263.24241987101783</v>
      </c>
      <c r="D191">
        <f t="shared" si="53"/>
        <v>0.63030544505827568</v>
      </c>
      <c r="F191">
        <f t="shared" si="49"/>
        <v>176</v>
      </c>
      <c r="G191">
        <f t="shared" si="50"/>
        <v>263.53415565342084</v>
      </c>
      <c r="H191">
        <f t="shared" si="43"/>
        <v>0.62556969037974686</v>
      </c>
      <c r="I191">
        <f t="shared" si="44"/>
        <v>264.15972534380057</v>
      </c>
      <c r="J191">
        <f t="shared" si="45"/>
        <v>0.61539960930634952</v>
      </c>
      <c r="L191">
        <f t="shared" si="54"/>
        <v>176</v>
      </c>
      <c r="M191">
        <f t="shared" si="55"/>
        <v>263.56054223021846</v>
      </c>
      <c r="N191">
        <f t="shared" si="56"/>
        <v>0.62514113394365978</v>
      </c>
      <c r="O191">
        <f t="shared" si="57"/>
        <v>0.62006172800083748</v>
      </c>
      <c r="P191">
        <f t="shared" si="58"/>
        <v>0.62010302009780649</v>
      </c>
      <c r="Q191">
        <f t="shared" si="59"/>
        <v>0.61505915036217429</v>
      </c>
      <c r="S191">
        <f t="shared" si="60"/>
        <v>176</v>
      </c>
      <c r="T191">
        <f t="shared" si="46"/>
        <v>263.24241987101783</v>
      </c>
      <c r="U191">
        <f t="shared" si="47"/>
        <v>263.53415565342084</v>
      </c>
      <c r="V191">
        <f t="shared" si="48"/>
        <v>263.56054223021846</v>
      </c>
      <c r="W191">
        <f t="shared" si="61"/>
        <v>0.31812235920062903</v>
      </c>
      <c r="X191">
        <f t="shared" si="62"/>
        <v>2.6386576797619909E-2</v>
      </c>
    </row>
    <row r="192" spans="2:24" x14ac:dyDescent="0.25">
      <c r="B192">
        <f t="shared" si="51"/>
        <v>177</v>
      </c>
      <c r="C192">
        <f t="shared" si="52"/>
        <v>263.87272531607613</v>
      </c>
      <c r="D192">
        <f t="shared" si="53"/>
        <v>0.62006802793588134</v>
      </c>
      <c r="F192">
        <f t="shared" si="49"/>
        <v>177</v>
      </c>
      <c r="G192">
        <f t="shared" si="50"/>
        <v>264.15464030326388</v>
      </c>
      <c r="H192">
        <f t="shared" si="43"/>
        <v>0.61548236180213445</v>
      </c>
      <c r="I192">
        <f t="shared" si="44"/>
        <v>264.77012266506603</v>
      </c>
      <c r="J192">
        <f t="shared" si="45"/>
        <v>0.60545626555261323</v>
      </c>
      <c r="L192">
        <f t="shared" si="54"/>
        <v>177</v>
      </c>
      <c r="M192">
        <f t="shared" si="55"/>
        <v>264.18063052696897</v>
      </c>
      <c r="N192">
        <f t="shared" si="56"/>
        <v>0.61505938998395715</v>
      </c>
      <c r="O192">
        <f t="shared" si="57"/>
        <v>0.6100518625999658</v>
      </c>
      <c r="P192">
        <f t="shared" si="58"/>
        <v>0.61009265170584104</v>
      </c>
      <c r="Q192">
        <f t="shared" si="59"/>
        <v>0.60512034152915883</v>
      </c>
      <c r="S192">
        <f t="shared" si="60"/>
        <v>177</v>
      </c>
      <c r="T192">
        <f t="shared" si="46"/>
        <v>263.87272531607613</v>
      </c>
      <c r="U192">
        <f t="shared" si="47"/>
        <v>264.15464030326388</v>
      </c>
      <c r="V192">
        <f t="shared" si="48"/>
        <v>264.18063052696897</v>
      </c>
      <c r="W192">
        <f t="shared" si="61"/>
        <v>0.30790521089284084</v>
      </c>
      <c r="X192">
        <f t="shared" si="62"/>
        <v>2.599022370509374E-2</v>
      </c>
    </row>
    <row r="193" spans="2:24" x14ac:dyDescent="0.25">
      <c r="B193">
        <f t="shared" si="51"/>
        <v>178</v>
      </c>
      <c r="C193">
        <f t="shared" si="52"/>
        <v>264.492793344012</v>
      </c>
      <c r="D193">
        <f t="shared" si="53"/>
        <v>0.6099763829971947</v>
      </c>
      <c r="F193">
        <f t="shared" si="49"/>
        <v>178</v>
      </c>
      <c r="G193">
        <f t="shared" si="50"/>
        <v>264.76510961694123</v>
      </c>
      <c r="H193">
        <f t="shared" si="43"/>
        <v>0.60553800786612577</v>
      </c>
      <c r="I193">
        <f t="shared" si="44"/>
        <v>265.37064762480736</v>
      </c>
      <c r="J193">
        <f t="shared" si="45"/>
        <v>0.59565459245175434</v>
      </c>
      <c r="L193">
        <f t="shared" si="54"/>
        <v>178</v>
      </c>
      <c r="M193">
        <f t="shared" si="55"/>
        <v>264.79070865365645</v>
      </c>
      <c r="N193">
        <f t="shared" si="56"/>
        <v>0.60512057839047695</v>
      </c>
      <c r="O193">
        <f t="shared" si="57"/>
        <v>0.60018428021971759</v>
      </c>
      <c r="P193">
        <f t="shared" si="58"/>
        <v>0.60022456777674305</v>
      </c>
      <c r="Q193">
        <f t="shared" si="59"/>
        <v>0.59532316316920153</v>
      </c>
      <c r="S193">
        <f t="shared" si="60"/>
        <v>178</v>
      </c>
      <c r="T193">
        <f t="shared" si="46"/>
        <v>264.492793344012</v>
      </c>
      <c r="U193">
        <f t="shared" si="47"/>
        <v>264.76510961694123</v>
      </c>
      <c r="V193">
        <f t="shared" si="48"/>
        <v>264.79070865365645</v>
      </c>
      <c r="W193">
        <f t="shared" si="61"/>
        <v>0.29791530964445201</v>
      </c>
      <c r="X193">
        <f t="shared" si="62"/>
        <v>2.5599036715220791E-2</v>
      </c>
    </row>
    <row r="194" spans="2:24" x14ac:dyDescent="0.25">
      <c r="B194">
        <f t="shared" si="51"/>
        <v>179</v>
      </c>
      <c r="C194">
        <f t="shared" si="52"/>
        <v>265.10276972700922</v>
      </c>
      <c r="D194">
        <f t="shared" si="53"/>
        <v>0.60002919608591165</v>
      </c>
      <c r="F194">
        <f t="shared" si="49"/>
        <v>179</v>
      </c>
      <c r="G194">
        <f t="shared" si="50"/>
        <v>265.36570591710017</v>
      </c>
      <c r="H194">
        <f t="shared" si="43"/>
        <v>0.5957353275794941</v>
      </c>
      <c r="I194">
        <f t="shared" si="44"/>
        <v>265.96144124467969</v>
      </c>
      <c r="J194">
        <f t="shared" si="45"/>
        <v>0.58599327080754604</v>
      </c>
      <c r="L194">
        <f t="shared" si="54"/>
        <v>179</v>
      </c>
      <c r="M194">
        <f t="shared" si="55"/>
        <v>265.39091889324857</v>
      </c>
      <c r="N194">
        <f t="shared" si="56"/>
        <v>0.59532339727297201</v>
      </c>
      <c r="O194">
        <f t="shared" si="57"/>
        <v>0.59045766979547665</v>
      </c>
      <c r="P194">
        <f t="shared" si="58"/>
        <v>0.59049745744799065</v>
      </c>
      <c r="Q194">
        <f t="shared" si="59"/>
        <v>0.58566629565139738</v>
      </c>
      <c r="S194">
        <f t="shared" si="60"/>
        <v>179</v>
      </c>
      <c r="T194">
        <f t="shared" si="46"/>
        <v>265.10276972700922</v>
      </c>
      <c r="U194">
        <f t="shared" si="47"/>
        <v>265.36570591710017</v>
      </c>
      <c r="V194">
        <f t="shared" si="48"/>
        <v>265.39091889324857</v>
      </c>
      <c r="W194">
        <f t="shared" si="61"/>
        <v>0.28814916623935005</v>
      </c>
      <c r="X194">
        <f t="shared" si="62"/>
        <v>2.5212976148395683E-2</v>
      </c>
    </row>
    <row r="195" spans="2:24" x14ac:dyDescent="0.25">
      <c r="B195">
        <f t="shared" si="51"/>
        <v>180</v>
      </c>
      <c r="C195">
        <f t="shared" si="52"/>
        <v>265.70279892309514</v>
      </c>
      <c r="D195">
        <f t="shared" si="53"/>
        <v>0.59022513349911765</v>
      </c>
      <c r="F195">
        <f t="shared" si="49"/>
        <v>180</v>
      </c>
      <c r="G195">
        <f t="shared" si="50"/>
        <v>265.9565702162937</v>
      </c>
      <c r="H195">
        <f t="shared" si="43"/>
        <v>0.58607300214725933</v>
      </c>
      <c r="I195">
        <f t="shared" si="44"/>
        <v>266.54264321844096</v>
      </c>
      <c r="J195">
        <f t="shared" si="45"/>
        <v>0.5764709652407175</v>
      </c>
      <c r="L195">
        <f t="shared" si="54"/>
        <v>180</v>
      </c>
      <c r="M195">
        <f t="shared" si="55"/>
        <v>265.98140221781711</v>
      </c>
      <c r="N195">
        <f t="shared" si="56"/>
        <v>0.58566652700175958</v>
      </c>
      <c r="O195">
        <f t="shared" si="57"/>
        <v>0.58087070333529445</v>
      </c>
      <c r="P195">
        <f t="shared" si="58"/>
        <v>0.58090999292005019</v>
      </c>
      <c r="Q195">
        <f t="shared" si="59"/>
        <v>0.5761484032034575</v>
      </c>
      <c r="S195">
        <f t="shared" si="60"/>
        <v>180</v>
      </c>
      <c r="T195">
        <f t="shared" si="46"/>
        <v>265.70279892309514</v>
      </c>
      <c r="U195">
        <f t="shared" si="47"/>
        <v>265.9565702162937</v>
      </c>
      <c r="V195">
        <f t="shared" si="48"/>
        <v>265.98140221781711</v>
      </c>
      <c r="W195">
        <f t="shared" si="61"/>
        <v>0.27860329472196099</v>
      </c>
      <c r="X195">
        <f t="shared" si="62"/>
        <v>2.4832001523407143E-2</v>
      </c>
    </row>
    <row r="196" spans="2:24" x14ac:dyDescent="0.25">
      <c r="B196">
        <f t="shared" si="51"/>
        <v>181</v>
      </c>
      <c r="C196">
        <f t="shared" si="52"/>
        <v>266.29302405659428</v>
      </c>
      <c r="D196">
        <f t="shared" si="53"/>
        <v>0.58056284369328393</v>
      </c>
      <c r="F196">
        <f t="shared" si="49"/>
        <v>181</v>
      </c>
      <c r="G196">
        <f t="shared" si="50"/>
        <v>266.53784219998767</v>
      </c>
      <c r="H196">
        <f t="shared" si="43"/>
        <v>0.5765496965721133</v>
      </c>
      <c r="I196">
        <f t="shared" si="44"/>
        <v>267.11439189655977</v>
      </c>
      <c r="J196">
        <f t="shared" si="45"/>
        <v>0.56708632572355844</v>
      </c>
      <c r="L196">
        <f t="shared" si="54"/>
        <v>181</v>
      </c>
      <c r="M196">
        <f t="shared" si="55"/>
        <v>266.56229827160308</v>
      </c>
      <c r="N196">
        <f t="shared" si="56"/>
        <v>0.57614863180572451</v>
      </c>
      <c r="O196">
        <f t="shared" si="57"/>
        <v>0.57142203748491693</v>
      </c>
      <c r="P196">
        <f t="shared" si="58"/>
        <v>0.5714608310217002</v>
      </c>
      <c r="Q196">
        <f t="shared" si="59"/>
        <v>0.5667681354445655</v>
      </c>
      <c r="S196">
        <f t="shared" si="60"/>
        <v>181</v>
      </c>
      <c r="T196">
        <f t="shared" si="46"/>
        <v>266.29302405659428</v>
      </c>
      <c r="U196">
        <f t="shared" si="47"/>
        <v>266.53784219998767</v>
      </c>
      <c r="V196">
        <f t="shared" si="48"/>
        <v>266.56229827160308</v>
      </c>
      <c r="W196">
        <f t="shared" si="61"/>
        <v>0.26927421500880655</v>
      </c>
      <c r="X196">
        <f t="shared" si="62"/>
        <v>2.4456071615418296E-2</v>
      </c>
    </row>
    <row r="197" spans="2:24" x14ac:dyDescent="0.25">
      <c r="B197">
        <f t="shared" si="51"/>
        <v>182</v>
      </c>
      <c r="C197">
        <f t="shared" si="52"/>
        <v>266.87358690028753</v>
      </c>
      <c r="D197">
        <f t="shared" si="53"/>
        <v>0.57104095892097606</v>
      </c>
      <c r="F197">
        <f t="shared" si="49"/>
        <v>182</v>
      </c>
      <c r="G197">
        <f t="shared" si="50"/>
        <v>267.10966021113552</v>
      </c>
      <c r="H197">
        <f t="shared" si="43"/>
        <v>0.56716406118957585</v>
      </c>
      <c r="I197">
        <f t="shared" si="44"/>
        <v>267.67682427232512</v>
      </c>
      <c r="J197">
        <f t="shared" si="45"/>
        <v>0.55783798905127824</v>
      </c>
      <c r="L197">
        <f t="shared" si="54"/>
        <v>182</v>
      </c>
      <c r="M197">
        <f t="shared" si="55"/>
        <v>267.13374535564702</v>
      </c>
      <c r="N197">
        <f t="shared" si="56"/>
        <v>0.56676836130517139</v>
      </c>
      <c r="O197">
        <f t="shared" si="57"/>
        <v>0.56211031502866793</v>
      </c>
      <c r="P197">
        <f t="shared" si="58"/>
        <v>0.56214861471117628</v>
      </c>
      <c r="Q197">
        <f t="shared" si="59"/>
        <v>0.55752412885504476</v>
      </c>
      <c r="S197">
        <f t="shared" si="60"/>
        <v>182</v>
      </c>
      <c r="T197">
        <f t="shared" si="46"/>
        <v>266.87358690028753</v>
      </c>
      <c r="U197">
        <f t="shared" si="47"/>
        <v>267.10966021113552</v>
      </c>
      <c r="V197">
        <f t="shared" si="48"/>
        <v>267.13374535564702</v>
      </c>
      <c r="W197">
        <f t="shared" si="61"/>
        <v>0.26015845535948756</v>
      </c>
      <c r="X197">
        <f t="shared" si="62"/>
        <v>2.4085144511502676E-2</v>
      </c>
    </row>
    <row r="198" spans="2:24" x14ac:dyDescent="0.25">
      <c r="B198">
        <f t="shared" si="51"/>
        <v>183</v>
      </c>
      <c r="C198">
        <f t="shared" si="52"/>
        <v>267.44462785920854</v>
      </c>
      <c r="D198">
        <f t="shared" si="53"/>
        <v>0.56165809680042045</v>
      </c>
      <c r="F198">
        <f t="shared" si="49"/>
        <v>183</v>
      </c>
      <c r="G198">
        <f t="shared" si="50"/>
        <v>267.67216123625593</v>
      </c>
      <c r="H198">
        <f t="shared" si="43"/>
        <v>0.55791473313995421</v>
      </c>
      <c r="I198">
        <f t="shared" si="44"/>
        <v>268.2300759693959</v>
      </c>
      <c r="J198">
        <f t="shared" si="45"/>
        <v>0.54872458025215942</v>
      </c>
      <c r="L198">
        <f t="shared" si="54"/>
        <v>183</v>
      </c>
      <c r="M198">
        <f t="shared" si="55"/>
        <v>267.69588041392035</v>
      </c>
      <c r="N198">
        <f t="shared" si="56"/>
        <v>0.55752435198150474</v>
      </c>
      <c r="O198">
        <f t="shared" si="57"/>
        <v>0.55293416632814985</v>
      </c>
      <c r="P198">
        <f t="shared" si="58"/>
        <v>0.55297197451517099</v>
      </c>
      <c r="Q198">
        <f t="shared" si="59"/>
        <v>0.54841500818486566</v>
      </c>
      <c r="S198">
        <f t="shared" si="60"/>
        <v>183</v>
      </c>
      <c r="T198">
        <f t="shared" si="46"/>
        <v>267.44462785920854</v>
      </c>
      <c r="U198">
        <f t="shared" si="47"/>
        <v>267.67216123625593</v>
      </c>
      <c r="V198">
        <f t="shared" si="48"/>
        <v>267.69588041392035</v>
      </c>
      <c r="W198">
        <f t="shared" si="61"/>
        <v>0.25125255471181163</v>
      </c>
      <c r="X198">
        <f t="shared" si="62"/>
        <v>2.3719177664418112E-2</v>
      </c>
    </row>
    <row r="199" spans="2:24" x14ac:dyDescent="0.25">
      <c r="B199">
        <f t="shared" si="51"/>
        <v>184</v>
      </c>
      <c r="C199">
        <f t="shared" si="52"/>
        <v>268.00628595600898</v>
      </c>
      <c r="D199">
        <f t="shared" si="53"/>
        <v>0.55241286181997074</v>
      </c>
      <c r="F199">
        <f t="shared" si="49"/>
        <v>184</v>
      </c>
      <c r="G199">
        <f t="shared" si="50"/>
        <v>268.22548089295196</v>
      </c>
      <c r="H199">
        <f t="shared" si="43"/>
        <v>0.54880033777901449</v>
      </c>
      <c r="I199">
        <f t="shared" si="44"/>
        <v>268.77428123073099</v>
      </c>
      <c r="J199">
        <f t="shared" si="45"/>
        <v>0.53974471393836043</v>
      </c>
      <c r="L199">
        <f t="shared" si="54"/>
        <v>184</v>
      </c>
      <c r="M199">
        <f t="shared" si="55"/>
        <v>268.24883902089584</v>
      </c>
      <c r="N199">
        <f t="shared" si="56"/>
        <v>0.54841522858572611</v>
      </c>
      <c r="O199">
        <f t="shared" si="57"/>
        <v>0.54389221070072835</v>
      </c>
      <c r="P199">
        <f t="shared" si="58"/>
        <v>0.5439295299075847</v>
      </c>
      <c r="Q199">
        <f t="shared" si="59"/>
        <v>0.53943938780287581</v>
      </c>
      <c r="S199">
        <f t="shared" si="60"/>
        <v>184</v>
      </c>
      <c r="T199">
        <f t="shared" si="46"/>
        <v>268.00628595600898</v>
      </c>
      <c r="U199">
        <f t="shared" si="47"/>
        <v>268.22548089295196</v>
      </c>
      <c r="V199">
        <f t="shared" si="48"/>
        <v>268.24883902089584</v>
      </c>
      <c r="W199">
        <f t="shared" si="61"/>
        <v>0.24255306488686301</v>
      </c>
      <c r="X199">
        <f t="shared" si="62"/>
        <v>2.3358127943879481E-2</v>
      </c>
    </row>
    <row r="200" spans="2:24" x14ac:dyDescent="0.25">
      <c r="B200">
        <f t="shared" si="51"/>
        <v>185</v>
      </c>
      <c r="C200">
        <f t="shared" si="52"/>
        <v>268.55869881782894</v>
      </c>
      <c r="D200">
        <f t="shared" si="53"/>
        <v>0.54330384677956256</v>
      </c>
      <c r="F200">
        <f t="shared" si="49"/>
        <v>185</v>
      </c>
      <c r="G200">
        <f t="shared" si="50"/>
        <v>268.76975341881064</v>
      </c>
      <c r="H200">
        <f t="shared" si="43"/>
        <v>0.53981949002935081</v>
      </c>
      <c r="I200">
        <f t="shared" si="44"/>
        <v>269.30957290883998</v>
      </c>
      <c r="J200">
        <f t="shared" si="45"/>
        <v>0.53089699559930448</v>
      </c>
      <c r="L200">
        <f t="shared" si="54"/>
        <v>185</v>
      </c>
      <c r="M200">
        <f t="shared" si="55"/>
        <v>268.79275537049671</v>
      </c>
      <c r="N200">
        <f t="shared" si="56"/>
        <v>0.53943960548767</v>
      </c>
      <c r="O200">
        <f t="shared" si="57"/>
        <v>0.53498305773973265</v>
      </c>
      <c r="P200">
        <f t="shared" si="58"/>
        <v>0.53501989062998445</v>
      </c>
      <c r="Q200">
        <f t="shared" si="59"/>
        <v>0.5305958729886695</v>
      </c>
      <c r="S200">
        <f t="shared" si="60"/>
        <v>185</v>
      </c>
      <c r="T200">
        <f t="shared" si="46"/>
        <v>268.55869881782894</v>
      </c>
      <c r="U200">
        <f t="shared" si="47"/>
        <v>268.76975341881064</v>
      </c>
      <c r="V200">
        <f t="shared" si="48"/>
        <v>268.79275537049671</v>
      </c>
      <c r="W200">
        <f t="shared" si="61"/>
        <v>0.23405655266776648</v>
      </c>
      <c r="X200">
        <f t="shared" si="62"/>
        <v>2.3001951686069333E-2</v>
      </c>
    </row>
    <row r="201" spans="2:24" x14ac:dyDescent="0.25">
      <c r="B201">
        <f t="shared" si="51"/>
        <v>186</v>
      </c>
      <c r="C201">
        <f t="shared" si="52"/>
        <v>269.10200266460851</v>
      </c>
      <c r="D201">
        <f t="shared" si="53"/>
        <v>0.53432963417109047</v>
      </c>
      <c r="F201">
        <f t="shared" si="49"/>
        <v>186</v>
      </c>
      <c r="G201">
        <f t="shared" si="50"/>
        <v>269.30511166162495</v>
      </c>
      <c r="H201">
        <f t="shared" si="43"/>
        <v>0.53097079567431194</v>
      </c>
      <c r="I201">
        <f t="shared" si="44"/>
        <v>269.83608245729926</v>
      </c>
      <c r="J201">
        <f t="shared" si="45"/>
        <v>0.5221800228394915</v>
      </c>
      <c r="L201">
        <f t="shared" si="54"/>
        <v>186</v>
      </c>
      <c r="M201">
        <f t="shared" si="55"/>
        <v>269.32776226636599</v>
      </c>
      <c r="N201">
        <f t="shared" si="56"/>
        <v>0.53059608796787405</v>
      </c>
      <c r="O201">
        <f t="shared" si="57"/>
        <v>0.52620530857818781</v>
      </c>
      <c r="P201">
        <f t="shared" si="58"/>
        <v>0.52624165795562305</v>
      </c>
      <c r="Q201">
        <f t="shared" si="59"/>
        <v>0.5218830611689268</v>
      </c>
      <c r="S201">
        <f t="shared" si="60"/>
        <v>186</v>
      </c>
      <c r="T201">
        <f t="shared" si="46"/>
        <v>269.10200266460851</v>
      </c>
      <c r="U201">
        <f t="shared" si="47"/>
        <v>269.30511166162495</v>
      </c>
      <c r="V201">
        <f t="shared" si="48"/>
        <v>269.32776226636599</v>
      </c>
      <c r="W201">
        <f t="shared" si="61"/>
        <v>0.22575960175748833</v>
      </c>
      <c r="X201">
        <f t="shared" si="62"/>
        <v>2.2650604741045299E-2</v>
      </c>
    </row>
    <row r="202" spans="2:24" x14ac:dyDescent="0.25">
      <c r="B202">
        <f t="shared" si="51"/>
        <v>187</v>
      </c>
      <c r="C202">
        <f t="shared" si="52"/>
        <v>269.63633229877962</v>
      </c>
      <c r="D202">
        <f t="shared" si="53"/>
        <v>0.52548879749969479</v>
      </c>
      <c r="F202">
        <f t="shared" si="49"/>
        <v>187</v>
      </c>
      <c r="G202">
        <f t="shared" si="50"/>
        <v>269.83168707088186</v>
      </c>
      <c r="H202">
        <f t="shared" si="43"/>
        <v>0.52225285259633925</v>
      </c>
      <c r="I202">
        <f t="shared" si="44"/>
        <v>270.35393992347821</v>
      </c>
      <c r="J202">
        <f t="shared" si="45"/>
        <v>0.5135923865625216</v>
      </c>
      <c r="L202">
        <f t="shared" si="54"/>
        <v>187</v>
      </c>
      <c r="M202">
        <f t="shared" si="55"/>
        <v>269.85399111340007</v>
      </c>
      <c r="N202">
        <f t="shared" si="56"/>
        <v>0.52188327345391583</v>
      </c>
      <c r="O202">
        <f t="shared" si="57"/>
        <v>0.51755755709794771</v>
      </c>
      <c r="P202">
        <f t="shared" si="58"/>
        <v>0.5175934258988083</v>
      </c>
      <c r="Q202">
        <f t="shared" si="59"/>
        <v>0.51329954310002202</v>
      </c>
      <c r="S202">
        <f t="shared" si="60"/>
        <v>187</v>
      </c>
      <c r="T202">
        <f t="shared" si="46"/>
        <v>269.63633229877962</v>
      </c>
      <c r="U202">
        <f t="shared" si="47"/>
        <v>269.83168707088186</v>
      </c>
      <c r="V202">
        <f t="shared" si="48"/>
        <v>269.85399111340007</v>
      </c>
      <c r="W202">
        <f t="shared" si="61"/>
        <v>0.21765881462044945</v>
      </c>
      <c r="X202">
        <f t="shared" si="62"/>
        <v>2.2304042518214828E-2</v>
      </c>
    </row>
    <row r="203" spans="2:24" x14ac:dyDescent="0.25">
      <c r="B203">
        <f t="shared" si="51"/>
        <v>188</v>
      </c>
      <c r="C203">
        <f t="shared" si="52"/>
        <v>270.16182109627931</v>
      </c>
      <c r="D203">
        <f t="shared" si="53"/>
        <v>0.51677990254783879</v>
      </c>
      <c r="F203">
        <f t="shared" si="49"/>
        <v>188</v>
      </c>
      <c r="G203">
        <f t="shared" si="50"/>
        <v>270.34960969046131</v>
      </c>
      <c r="H203">
        <f t="shared" si="43"/>
        <v>0.51366425196150833</v>
      </c>
      <c r="I203">
        <f t="shared" si="44"/>
        <v>270.86327394242284</v>
      </c>
      <c r="J203">
        <f t="shared" si="45"/>
        <v>0.50513267210310575</v>
      </c>
      <c r="L203">
        <f t="shared" si="54"/>
        <v>188</v>
      </c>
      <c r="M203">
        <f t="shared" si="55"/>
        <v>270.3715719104913</v>
      </c>
      <c r="N203">
        <f t="shared" si="56"/>
        <v>0.51329975270302797</v>
      </c>
      <c r="O203">
        <f t="shared" si="57"/>
        <v>0.50903839108596671</v>
      </c>
      <c r="P203">
        <f t="shared" si="58"/>
        <v>0.50907378237144474</v>
      </c>
      <c r="Q203">
        <f t="shared" si="59"/>
        <v>0.50484390399865609</v>
      </c>
      <c r="S203">
        <f t="shared" si="60"/>
        <v>188</v>
      </c>
      <c r="T203">
        <f t="shared" si="46"/>
        <v>270.16182109627931</v>
      </c>
      <c r="U203">
        <f t="shared" si="47"/>
        <v>270.34960969046131</v>
      </c>
      <c r="V203">
        <f t="shared" si="48"/>
        <v>270.3715719104913</v>
      </c>
      <c r="W203">
        <f t="shared" si="61"/>
        <v>0.20975081421198638</v>
      </c>
      <c r="X203">
        <f t="shared" si="62"/>
        <v>2.1962220029990931E-2</v>
      </c>
    </row>
    <row r="204" spans="2:24" x14ac:dyDescent="0.25">
      <c r="B204">
        <f t="shared" si="51"/>
        <v>189</v>
      </c>
      <c r="C204">
        <f t="shared" si="52"/>
        <v>270.67860099882716</v>
      </c>
      <c r="D204">
        <f t="shared" si="53"/>
        <v>0.50820150858402724</v>
      </c>
      <c r="F204">
        <f t="shared" si="49"/>
        <v>189</v>
      </c>
      <c r="G204">
        <f t="shared" si="50"/>
        <v>270.85900815249363</v>
      </c>
      <c r="H204">
        <f t="shared" si="43"/>
        <v>0.50520357935203808</v>
      </c>
      <c r="I204">
        <f t="shared" si="44"/>
        <v>271.36421173184567</v>
      </c>
      <c r="J204">
        <f t="shared" si="45"/>
        <v>0.49679946030873789</v>
      </c>
      <c r="L204">
        <f t="shared" si="54"/>
        <v>189</v>
      </c>
      <c r="M204">
        <f t="shared" si="55"/>
        <v>270.88063324442737</v>
      </c>
      <c r="N204">
        <f t="shared" si="56"/>
        <v>0.50484411093273329</v>
      </c>
      <c r="O204">
        <f t="shared" si="57"/>
        <v>0.50064639333947436</v>
      </c>
      <c r="P204">
        <f t="shared" si="58"/>
        <v>0.50068131028844243</v>
      </c>
      <c r="Q204">
        <f t="shared" si="59"/>
        <v>0.49651472462222712</v>
      </c>
      <c r="S204">
        <f t="shared" si="60"/>
        <v>189</v>
      </c>
      <c r="T204">
        <f t="shared" si="46"/>
        <v>270.67860099882716</v>
      </c>
      <c r="U204">
        <f t="shared" si="47"/>
        <v>270.85900815249363</v>
      </c>
      <c r="V204">
        <f t="shared" si="48"/>
        <v>270.88063324442737</v>
      </c>
      <c r="W204">
        <f t="shared" si="61"/>
        <v>0.20203224560020772</v>
      </c>
      <c r="X204">
        <f t="shared" si="62"/>
        <v>2.1625091933742624E-2</v>
      </c>
    </row>
    <row r="205" spans="2:24" x14ac:dyDescent="0.25">
      <c r="B205">
        <f t="shared" si="51"/>
        <v>190</v>
      </c>
      <c r="C205">
        <f t="shared" si="52"/>
        <v>271.18680250741119</v>
      </c>
      <c r="D205">
        <f t="shared" si="53"/>
        <v>0.49975216951801116</v>
      </c>
      <c r="F205">
        <f t="shared" si="49"/>
        <v>190</v>
      </c>
      <c r="G205">
        <f t="shared" si="50"/>
        <v>271.360009672324</v>
      </c>
      <c r="H205">
        <f t="shared" si="43"/>
        <v>0.49686941584847244</v>
      </c>
      <c r="I205">
        <f t="shared" si="44"/>
        <v>271.85687908817249</v>
      </c>
      <c r="J205">
        <f t="shared" si="45"/>
        <v>0.48859132857274523</v>
      </c>
      <c r="L205">
        <f t="shared" si="54"/>
        <v>190</v>
      </c>
      <c r="M205">
        <f t="shared" si="55"/>
        <v>271.38130228489581</v>
      </c>
      <c r="N205">
        <f t="shared" si="56"/>
        <v>0.49651492890120558</v>
      </c>
      <c r="O205">
        <f t="shared" si="57"/>
        <v>0.4923801427217081</v>
      </c>
      <c r="P205">
        <f t="shared" si="58"/>
        <v>0.49241458862371446</v>
      </c>
      <c r="Q205">
        <f t="shared" si="59"/>
        <v>0.48831058230060004</v>
      </c>
      <c r="S205">
        <f t="shared" si="60"/>
        <v>190</v>
      </c>
      <c r="T205">
        <f t="shared" si="46"/>
        <v>271.18680250741119</v>
      </c>
      <c r="U205">
        <f t="shared" si="47"/>
        <v>271.360009672324</v>
      </c>
      <c r="V205">
        <f t="shared" si="48"/>
        <v>271.38130228489581</v>
      </c>
      <c r="W205">
        <f t="shared" si="61"/>
        <v>0.19449977748462288</v>
      </c>
      <c r="X205">
        <f t="shared" si="62"/>
        <v>2.1292612571812697E-2</v>
      </c>
    </row>
    <row r="206" spans="2:24" x14ac:dyDescent="0.25">
      <c r="B206">
        <f t="shared" si="51"/>
        <v>191</v>
      </c>
      <c r="C206">
        <f t="shared" si="52"/>
        <v>271.68655467692918</v>
      </c>
      <c r="D206">
        <f t="shared" si="53"/>
        <v>0.49143043500419964</v>
      </c>
      <c r="F206">
        <f t="shared" si="49"/>
        <v>191</v>
      </c>
      <c r="G206">
        <f t="shared" si="50"/>
        <v>271.85274004453458</v>
      </c>
      <c r="H206">
        <f t="shared" si="43"/>
        <v>0.48866033906321554</v>
      </c>
      <c r="I206">
        <f t="shared" si="44"/>
        <v>272.34140038359777</v>
      </c>
      <c r="J206">
        <f t="shared" si="45"/>
        <v>0.48050685182032132</v>
      </c>
      <c r="L206">
        <f t="shared" si="54"/>
        <v>191</v>
      </c>
      <c r="M206">
        <f t="shared" si="55"/>
        <v>271.87370478054459</v>
      </c>
      <c r="N206">
        <f t="shared" si="56"/>
        <v>0.48831078393904942</v>
      </c>
      <c r="O206">
        <f t="shared" si="57"/>
        <v>0.4842382151698898</v>
      </c>
      <c r="P206">
        <f t="shared" si="58"/>
        <v>0.48427219341837713</v>
      </c>
      <c r="Q206">
        <f t="shared" si="59"/>
        <v>0.48023005192092399</v>
      </c>
      <c r="S206">
        <f t="shared" si="60"/>
        <v>191</v>
      </c>
      <c r="T206">
        <f t="shared" si="46"/>
        <v>271.68655467692918</v>
      </c>
      <c r="U206">
        <f t="shared" si="47"/>
        <v>271.85274004453458</v>
      </c>
      <c r="V206">
        <f t="shared" si="48"/>
        <v>271.87370478054459</v>
      </c>
      <c r="W206">
        <f t="shared" si="61"/>
        <v>0.18715010361540863</v>
      </c>
      <c r="X206">
        <f t="shared" si="62"/>
        <v>2.0964736010000706E-2</v>
      </c>
    </row>
    <row r="207" spans="2:24" x14ac:dyDescent="0.25">
      <c r="B207">
        <f t="shared" si="51"/>
        <v>192</v>
      </c>
      <c r="C207">
        <f t="shared" si="52"/>
        <v>272.17798511193337</v>
      </c>
      <c r="D207">
        <f t="shared" si="53"/>
        <v>0.48323485149503659</v>
      </c>
      <c r="F207">
        <f t="shared" si="49"/>
        <v>192</v>
      </c>
      <c r="G207">
        <f t="shared" si="50"/>
        <v>272.33732363997638</v>
      </c>
      <c r="H207">
        <f t="shared" ref="H207:H270" si="63">0.3*(G207^(3/4))*(1-(G207/300)^(1/4))</f>
        <v>0.48057492412703962</v>
      </c>
      <c r="I207">
        <f t="shared" ref="I207:I270" si="64">G207+$C$10*H207</f>
        <v>272.81789856410342</v>
      </c>
      <c r="J207">
        <f t="shared" ref="J207:J270" si="65">0.3*(I207^(3/4))*(1-(I207/300)^(1/4))</f>
        <v>0.47254460344912974</v>
      </c>
      <c r="L207">
        <f t="shared" si="54"/>
        <v>192</v>
      </c>
      <c r="M207">
        <f t="shared" si="55"/>
        <v>272.35796505605066</v>
      </c>
      <c r="N207">
        <f t="shared" si="56"/>
        <v>0.48023025093411398</v>
      </c>
      <c r="O207">
        <f t="shared" si="57"/>
        <v>0.47621918465703728</v>
      </c>
      <c r="P207">
        <f t="shared" si="58"/>
        <v>0.47625269874279841</v>
      </c>
      <c r="Q207">
        <f t="shared" si="59"/>
        <v>0.4722717068670424</v>
      </c>
      <c r="S207">
        <f t="shared" si="60"/>
        <v>192</v>
      </c>
      <c r="T207">
        <f t="shared" ref="T207:T270" si="66">C207</f>
        <v>272.17798511193337</v>
      </c>
      <c r="U207">
        <f t="shared" ref="U207:U270" si="67">G207</f>
        <v>272.33732363997638</v>
      </c>
      <c r="V207">
        <f t="shared" ref="V207:V270" si="68">M207</f>
        <v>272.35796505605066</v>
      </c>
      <c r="W207">
        <f t="shared" si="61"/>
        <v>0.17997994411729223</v>
      </c>
      <c r="X207">
        <f t="shared" si="62"/>
        <v>2.0641416074283825E-2</v>
      </c>
    </row>
    <row r="208" spans="2:24" x14ac:dyDescent="0.25">
      <c r="B208">
        <f t="shared" si="51"/>
        <v>193</v>
      </c>
      <c r="C208">
        <f t="shared" si="52"/>
        <v>272.66121996342838</v>
      </c>
      <c r="D208">
        <f t="shared" si="53"/>
        <v>0.47516396324601884</v>
      </c>
      <c r="F208">
        <f t="shared" ref="F208:F271" si="69">F207+$C$10</f>
        <v>193</v>
      </c>
      <c r="G208">
        <f t="shared" ref="G208:G271" si="70">G207+$C$10/2*(H207+J207)</f>
        <v>272.81388340376446</v>
      </c>
      <c r="H208">
        <f t="shared" si="63"/>
        <v>0.47261174463015149</v>
      </c>
      <c r="I208">
        <f t="shared" si="64"/>
        <v>273.28649514839464</v>
      </c>
      <c r="J208">
        <f t="shared" si="65"/>
        <v>0.46470315622602454</v>
      </c>
      <c r="L208">
        <f t="shared" si="54"/>
        <v>193</v>
      </c>
      <c r="M208">
        <f t="shared" si="55"/>
        <v>272.83420601015081</v>
      </c>
      <c r="N208">
        <f t="shared" si="56"/>
        <v>0.4722719032709089</v>
      </c>
      <c r="O208">
        <f t="shared" si="57"/>
        <v>0.46832162410915573</v>
      </c>
      <c r="P208">
        <f t="shared" si="58"/>
        <v>0.46835467761401611</v>
      </c>
      <c r="Q208">
        <f t="shared" si="59"/>
        <v>0.4644341199150851</v>
      </c>
      <c r="S208">
        <f t="shared" si="60"/>
        <v>193</v>
      </c>
      <c r="T208">
        <f t="shared" si="66"/>
        <v>272.66121996342838</v>
      </c>
      <c r="U208">
        <f t="shared" si="67"/>
        <v>272.81388340376446</v>
      </c>
      <c r="V208">
        <f t="shared" si="68"/>
        <v>272.83420601015081</v>
      </c>
      <c r="W208">
        <f t="shared" si="61"/>
        <v>0.17298604672242845</v>
      </c>
      <c r="X208">
        <f t="shared" si="62"/>
        <v>2.0322606386343978E-2</v>
      </c>
    </row>
    <row r="209" spans="2:24" x14ac:dyDescent="0.25">
      <c r="B209">
        <f t="shared" ref="B209:B272" si="71">B208+$C$10</f>
        <v>194</v>
      </c>
      <c r="C209">
        <f t="shared" ref="C209:C272" si="72">C208+$C$10*D208</f>
        <v>273.1363839266744</v>
      </c>
      <c r="D209">
        <f t="shared" ref="D209:D272" si="73">0.3*(C209^(3/4))*(1-(C209/300)^(1/4))</f>
        <v>0.46721631327398855</v>
      </c>
      <c r="F209">
        <f t="shared" si="69"/>
        <v>194</v>
      </c>
      <c r="G209">
        <f t="shared" si="70"/>
        <v>273.28254085419258</v>
      </c>
      <c r="H209">
        <f t="shared" si="63"/>
        <v>0.46476937351937614</v>
      </c>
      <c r="I209">
        <f t="shared" si="64"/>
        <v>273.74731022771198</v>
      </c>
      <c r="J209">
        <f t="shared" si="65"/>
        <v>0.45698108314139946</v>
      </c>
      <c r="L209">
        <f t="shared" ref="L209:L272" si="74">L208+$C$10</f>
        <v>194</v>
      </c>
      <c r="M209">
        <f t="shared" ref="M209:M272" si="75">M208 + (1/6)*(N208+2*O208+2*P208+Q208)</f>
        <v>273.30254911458951</v>
      </c>
      <c r="N209">
        <f t="shared" ref="N209:N272" si="76">$C$10*0.3*(M209^(3/4))*(1-(M209/300)^(1/4))</f>
        <v>0.46443431372619015</v>
      </c>
      <c r="O209">
        <f t="shared" ref="O209:O272" si="77">$C$10*0.3*((M209+N209/2)^(3/4))*(1-((M209+N209/2)/300)^(1/4))</f>
        <v>0.46054410627935993</v>
      </c>
      <c r="P209">
        <f t="shared" ref="P209:P272" si="78">$C$10*0.3*((M209+O209/2)^(3/4))*(1-((M209+O209/2)/300)^(1/4))</f>
        <v>0.46057670287008812</v>
      </c>
      <c r="Q209">
        <f t="shared" ref="Q209:Q272" si="79">$C$10*0.3*((M209+P209)^(3/4))*(1-((M209+P209)/300)^(1/4))</f>
        <v>0.45671586408671117</v>
      </c>
      <c r="S209">
        <f t="shared" si="60"/>
        <v>194</v>
      </c>
      <c r="T209">
        <f t="shared" si="66"/>
        <v>273.1363839266744</v>
      </c>
      <c r="U209">
        <f t="shared" si="67"/>
        <v>273.28254085419258</v>
      </c>
      <c r="V209">
        <f t="shared" si="68"/>
        <v>273.30254911458951</v>
      </c>
      <c r="W209">
        <f t="shared" si="61"/>
        <v>0.16616518791511226</v>
      </c>
      <c r="X209">
        <f t="shared" si="62"/>
        <v>2.0008260396934929E-2</v>
      </c>
    </row>
    <row r="210" spans="2:24" x14ac:dyDescent="0.25">
      <c r="B210">
        <f t="shared" si="71"/>
        <v>195</v>
      </c>
      <c r="C210">
        <f t="shared" si="72"/>
        <v>273.60360023994838</v>
      </c>
      <c r="D210">
        <f t="shared" si="73"/>
        <v>0.45939044427026754</v>
      </c>
      <c r="F210">
        <f t="shared" si="69"/>
        <v>195</v>
      </c>
      <c r="G210">
        <f t="shared" si="70"/>
        <v>273.74341608252297</v>
      </c>
      <c r="H210">
        <f t="shared" si="63"/>
        <v>0.45704638395294617</v>
      </c>
      <c r="I210">
        <f t="shared" si="64"/>
        <v>274.20046246647593</v>
      </c>
      <c r="J210">
        <f t="shared" si="65"/>
        <v>0.44937695822260987</v>
      </c>
      <c r="L210">
        <f t="shared" si="74"/>
        <v>195</v>
      </c>
      <c r="M210">
        <f t="shared" si="75"/>
        <v>273.76311441394148</v>
      </c>
      <c r="N210">
        <f t="shared" si="76"/>
        <v>0.45671605532221754</v>
      </c>
      <c r="O210">
        <f t="shared" si="77"/>
        <v>0.45288520458039949</v>
      </c>
      <c r="P210">
        <f t="shared" si="78"/>
        <v>0.45291734800282613</v>
      </c>
      <c r="Q210">
        <f t="shared" si="79"/>
        <v>0.44911551346148687</v>
      </c>
      <c r="S210">
        <f t="shared" si="60"/>
        <v>195</v>
      </c>
      <c r="T210">
        <f t="shared" si="66"/>
        <v>273.60360023994838</v>
      </c>
      <c r="U210">
        <f t="shared" si="67"/>
        <v>273.74341608252297</v>
      </c>
      <c r="V210">
        <f t="shared" si="68"/>
        <v>273.76311441394148</v>
      </c>
      <c r="W210">
        <f t="shared" si="61"/>
        <v>0.1595141739931023</v>
      </c>
      <c r="X210">
        <f t="shared" si="62"/>
        <v>1.9698331418510406E-2</v>
      </c>
    </row>
    <row r="211" spans="2:24" x14ac:dyDescent="0.25">
      <c r="B211">
        <f t="shared" si="71"/>
        <v>196</v>
      </c>
      <c r="C211">
        <f t="shared" si="72"/>
        <v>274.06299068421862</v>
      </c>
      <c r="D211">
        <f t="shared" si="73"/>
        <v>0.45168489947026397</v>
      </c>
      <c r="F211">
        <f t="shared" si="69"/>
        <v>196</v>
      </c>
      <c r="G211">
        <f t="shared" si="70"/>
        <v>274.19662775361076</v>
      </c>
      <c r="H211">
        <f t="shared" si="63"/>
        <v>0.44944135011435632</v>
      </c>
      <c r="I211">
        <f t="shared" si="64"/>
        <v>274.6460691037251</v>
      </c>
      <c r="J211">
        <f t="shared" si="65"/>
        <v>0.4418893573079149</v>
      </c>
      <c r="L211">
        <f t="shared" si="74"/>
        <v>196</v>
      </c>
      <c r="M211">
        <f t="shared" si="75"/>
        <v>274.2160205262665</v>
      </c>
      <c r="N211">
        <f t="shared" si="76"/>
        <v>0.44911570213911095</v>
      </c>
      <c r="O211">
        <f t="shared" si="77"/>
        <v>0.44534349387701627</v>
      </c>
      <c r="P211">
        <f t="shared" si="78"/>
        <v>0.44537518795038211</v>
      </c>
      <c r="Q211">
        <f t="shared" si="79"/>
        <v>0.44163164394979859</v>
      </c>
      <c r="S211">
        <f t="shared" si="60"/>
        <v>196</v>
      </c>
      <c r="T211">
        <f t="shared" si="66"/>
        <v>274.06299068421862</v>
      </c>
      <c r="U211">
        <f t="shared" si="67"/>
        <v>274.19662775361076</v>
      </c>
      <c r="V211">
        <f t="shared" si="68"/>
        <v>274.2160205262665</v>
      </c>
      <c r="W211">
        <f t="shared" si="61"/>
        <v>0.15302984204788572</v>
      </c>
      <c r="X211">
        <f t="shared" si="62"/>
        <v>1.9392772655749013E-2</v>
      </c>
    </row>
    <row r="212" spans="2:24" x14ac:dyDescent="0.25">
      <c r="B212">
        <f t="shared" si="71"/>
        <v>197</v>
      </c>
      <c r="C212">
        <f t="shared" si="72"/>
        <v>274.51467558368887</v>
      </c>
      <c r="D212">
        <f t="shared" si="73"/>
        <v>0.44409822348096356</v>
      </c>
      <c r="F212">
        <f t="shared" si="69"/>
        <v>197</v>
      </c>
      <c r="G212">
        <f t="shared" si="70"/>
        <v>274.6422931073219</v>
      </c>
      <c r="H212">
        <f t="shared" si="63"/>
        <v>0.44195284798673112</v>
      </c>
      <c r="I212">
        <f t="shared" si="64"/>
        <v>275.08424595530863</v>
      </c>
      <c r="J212">
        <f t="shared" si="65"/>
        <v>0.43451685878231111</v>
      </c>
      <c r="L212">
        <f t="shared" si="74"/>
        <v>197</v>
      </c>
      <c r="M212">
        <f t="shared" si="75"/>
        <v>274.66138464455713</v>
      </c>
      <c r="N212">
        <f t="shared" si="76"/>
        <v>0.44163183008779472</v>
      </c>
      <c r="O212">
        <f t="shared" si="77"/>
        <v>0.43791755123957432</v>
      </c>
      <c r="P212">
        <f t="shared" si="78"/>
        <v>0.4379487998510706</v>
      </c>
      <c r="Q212">
        <f t="shared" si="79"/>
        <v>0.43426283402772281</v>
      </c>
      <c r="S212">
        <f t="shared" si="60"/>
        <v>197</v>
      </c>
      <c r="T212">
        <f t="shared" si="66"/>
        <v>274.51467558368887</v>
      </c>
      <c r="U212">
        <f t="shared" si="67"/>
        <v>274.6422931073219</v>
      </c>
      <c r="V212">
        <f t="shared" si="68"/>
        <v>274.66138464455713</v>
      </c>
      <c r="W212">
        <f t="shared" si="61"/>
        <v>0.14670906086826108</v>
      </c>
      <c r="X212">
        <f t="shared" si="62"/>
        <v>1.9091537235226497E-2</v>
      </c>
    </row>
    <row r="213" spans="2:24" x14ac:dyDescent="0.25">
      <c r="B213">
        <f t="shared" si="71"/>
        <v>198</v>
      </c>
      <c r="C213">
        <f t="shared" si="72"/>
        <v>274.95877380716985</v>
      </c>
      <c r="D213">
        <f t="shared" si="73"/>
        <v>0.43662896306786103</v>
      </c>
      <c r="F213">
        <f t="shared" si="69"/>
        <v>198</v>
      </c>
      <c r="G213">
        <f t="shared" si="70"/>
        <v>275.08052796070643</v>
      </c>
      <c r="H213">
        <f t="shared" si="63"/>
        <v>0.4345794560890876</v>
      </c>
      <c r="I213">
        <f t="shared" si="64"/>
        <v>275.5151074167955</v>
      </c>
      <c r="J213">
        <f t="shared" si="65"/>
        <v>0.42725804427662045</v>
      </c>
      <c r="L213">
        <f t="shared" si="74"/>
        <v>198</v>
      </c>
      <c r="M213">
        <f t="shared" si="75"/>
        <v>275.09932253893993</v>
      </c>
      <c r="N213">
        <f t="shared" si="76"/>
        <v>0.43426301764483466</v>
      </c>
      <c r="O213">
        <f t="shared" si="77"/>
        <v>0.43060595666027496</v>
      </c>
      <c r="P213">
        <f t="shared" si="78"/>
        <v>0.43063676375978671</v>
      </c>
      <c r="Q213">
        <f t="shared" si="79"/>
        <v>0.42700766543514163</v>
      </c>
      <c r="S213">
        <f t="shared" si="60"/>
        <v>198</v>
      </c>
      <c r="T213">
        <f t="shared" si="66"/>
        <v>274.95877380716985</v>
      </c>
      <c r="U213">
        <f t="shared" si="67"/>
        <v>275.08052796070643</v>
      </c>
      <c r="V213">
        <f t="shared" si="68"/>
        <v>275.09932253893993</v>
      </c>
      <c r="W213">
        <f t="shared" si="61"/>
        <v>0.14054873177008176</v>
      </c>
      <c r="X213">
        <f t="shared" si="62"/>
        <v>1.8794578233496395E-2</v>
      </c>
    </row>
    <row r="214" spans="2:24" x14ac:dyDescent="0.25">
      <c r="B214">
        <f t="shared" si="71"/>
        <v>199</v>
      </c>
      <c r="C214">
        <f t="shared" si="72"/>
        <v>275.39540277023769</v>
      </c>
      <c r="D214">
        <f t="shared" si="73"/>
        <v>0.42927566790270688</v>
      </c>
      <c r="F214">
        <f t="shared" si="69"/>
        <v>199</v>
      </c>
      <c r="G214">
        <f t="shared" si="70"/>
        <v>275.51144671088929</v>
      </c>
      <c r="H214">
        <f t="shared" si="63"/>
        <v>0.42731975617578938</v>
      </c>
      <c r="I214">
        <f t="shared" si="64"/>
        <v>275.93876646706508</v>
      </c>
      <c r="J214">
        <f t="shared" si="65"/>
        <v>0.42011149933109332</v>
      </c>
      <c r="L214">
        <f t="shared" si="74"/>
        <v>199</v>
      </c>
      <c r="M214">
        <f t="shared" si="75"/>
        <v>275.52994855959327</v>
      </c>
      <c r="N214">
        <f t="shared" si="76"/>
        <v>0.42700784655058255</v>
      </c>
      <c r="O214">
        <f t="shared" si="77"/>
        <v>0.4234072937333333</v>
      </c>
      <c r="P214">
        <f t="shared" si="78"/>
        <v>0.42343766332838811</v>
      </c>
      <c r="Q214">
        <f t="shared" si="79"/>
        <v>0.41986472383847118</v>
      </c>
      <c r="S214">
        <f t="shared" si="60"/>
        <v>199</v>
      </c>
      <c r="T214">
        <f t="shared" si="66"/>
        <v>275.39540277023769</v>
      </c>
      <c r="U214">
        <f t="shared" si="67"/>
        <v>275.51144671088929</v>
      </c>
      <c r="V214">
        <f t="shared" si="68"/>
        <v>275.52994855959327</v>
      </c>
      <c r="W214">
        <f t="shared" si="61"/>
        <v>0.13454578935557038</v>
      </c>
      <c r="X214">
        <f t="shared" si="62"/>
        <v>1.8501848703976975E-2</v>
      </c>
    </row>
    <row r="215" spans="2:24" x14ac:dyDescent="0.25">
      <c r="B215">
        <f t="shared" si="71"/>
        <v>200</v>
      </c>
      <c r="C215">
        <f t="shared" si="72"/>
        <v>275.82467843814038</v>
      </c>
      <c r="D215">
        <f t="shared" si="73"/>
        <v>0.42203689127349425</v>
      </c>
      <c r="F215">
        <f t="shared" si="69"/>
        <v>200</v>
      </c>
      <c r="G215">
        <f t="shared" si="70"/>
        <v>275.93516233864273</v>
      </c>
      <c r="H215">
        <f t="shared" si="63"/>
        <v>0.42017233390058861</v>
      </c>
      <c r="I215">
        <f t="shared" si="64"/>
        <v>276.35533467254334</v>
      </c>
      <c r="J215">
        <f t="shared" si="65"/>
        <v>0.41307581402488447</v>
      </c>
      <c r="L215">
        <f t="shared" si="74"/>
        <v>200</v>
      </c>
      <c r="M215">
        <f t="shared" si="75"/>
        <v>275.95337564034537</v>
      </c>
      <c r="N215">
        <f t="shared" si="76"/>
        <v>0.41986490247189318</v>
      </c>
      <c r="O215">
        <f t="shared" si="77"/>
        <v>0.41632015030036507</v>
      </c>
      <c r="P215">
        <f t="shared" si="78"/>
        <v>0.41635008645126526</v>
      </c>
      <c r="Q215">
        <f t="shared" si="79"/>
        <v>0.41283259945923473</v>
      </c>
      <c r="S215">
        <f t="shared" si="60"/>
        <v>200</v>
      </c>
      <c r="T215">
        <f t="shared" si="66"/>
        <v>275.82467843814038</v>
      </c>
      <c r="U215">
        <f t="shared" si="67"/>
        <v>275.93516233864273</v>
      </c>
      <c r="V215">
        <f t="shared" si="68"/>
        <v>275.95337564034537</v>
      </c>
      <c r="W215">
        <f t="shared" si="61"/>
        <v>0.12869720220498948</v>
      </c>
      <c r="X215">
        <f t="shared" si="62"/>
        <v>1.8213301702644458E-2</v>
      </c>
    </row>
    <row r="216" spans="2:24" x14ac:dyDescent="0.25">
      <c r="B216">
        <f t="shared" si="71"/>
        <v>201</v>
      </c>
      <c r="C216">
        <f t="shared" si="72"/>
        <v>276.24671532941386</v>
      </c>
      <c r="D216">
        <f t="shared" si="73"/>
        <v>0.41491119075802302</v>
      </c>
      <c r="F216">
        <f t="shared" si="69"/>
        <v>201</v>
      </c>
      <c r="G216">
        <f t="shared" si="70"/>
        <v>276.35178641260546</v>
      </c>
      <c r="H216">
        <f t="shared" si="63"/>
        <v>0.41313577944644314</v>
      </c>
      <c r="I216">
        <f t="shared" si="64"/>
        <v>276.76492219205193</v>
      </c>
      <c r="J216">
        <f t="shared" si="65"/>
        <v>0.40614958357254949</v>
      </c>
      <c r="L216">
        <f t="shared" si="74"/>
        <v>201</v>
      </c>
      <c r="M216">
        <f t="shared" si="75"/>
        <v>276.36971530291777</v>
      </c>
      <c r="N216">
        <f t="shared" si="76"/>
        <v>0.41283277563069226</v>
      </c>
      <c r="O216">
        <f t="shared" si="77"/>
        <v>0.40934311906226806</v>
      </c>
      <c r="P216">
        <f t="shared" si="78"/>
        <v>0.40937262587741668</v>
      </c>
      <c r="Q216">
        <f t="shared" si="79"/>
        <v>0.40590988766972474</v>
      </c>
      <c r="S216">
        <f t="shared" si="60"/>
        <v>201</v>
      </c>
      <c r="T216">
        <f t="shared" si="66"/>
        <v>276.24671532941386</v>
      </c>
      <c r="U216">
        <f t="shared" si="67"/>
        <v>276.35178641260546</v>
      </c>
      <c r="V216">
        <f t="shared" si="68"/>
        <v>276.36971530291777</v>
      </c>
      <c r="W216">
        <f t="shared" si="61"/>
        <v>0.12299997350390868</v>
      </c>
      <c r="X216">
        <f t="shared" si="62"/>
        <v>1.7928890312305157E-2</v>
      </c>
    </row>
    <row r="217" spans="2:24" x14ac:dyDescent="0.25">
      <c r="B217">
        <f t="shared" si="71"/>
        <v>202</v>
      </c>
      <c r="C217">
        <f t="shared" si="72"/>
        <v>276.66162652017186</v>
      </c>
      <c r="D217">
        <f t="shared" si="73"/>
        <v>0.4078971288623493</v>
      </c>
      <c r="F217">
        <f t="shared" si="69"/>
        <v>202</v>
      </c>
      <c r="G217">
        <f t="shared" si="70"/>
        <v>276.76142909411499</v>
      </c>
      <c r="H217">
        <f t="shared" si="63"/>
        <v>0.40620868812240807</v>
      </c>
      <c r="I217">
        <f t="shared" si="64"/>
        <v>277.16763778223742</v>
      </c>
      <c r="J217">
        <f t="shared" si="65"/>
        <v>0.39933140888879765</v>
      </c>
      <c r="L217">
        <f t="shared" si="74"/>
        <v>202</v>
      </c>
      <c r="M217">
        <f t="shared" si="75"/>
        <v>276.77907766178106</v>
      </c>
      <c r="N217">
        <f t="shared" si="76"/>
        <v>0.40591006139965735</v>
      </c>
      <c r="O217">
        <f t="shared" si="77"/>
        <v>0.40247479815879211</v>
      </c>
      <c r="P217">
        <f t="shared" si="78"/>
        <v>0.4025038797901962</v>
      </c>
      <c r="Q217">
        <f t="shared" si="79"/>
        <v>0.39909518955695866</v>
      </c>
      <c r="S217">
        <f t="shared" si="60"/>
        <v>202</v>
      </c>
      <c r="T217">
        <f t="shared" si="66"/>
        <v>276.66162652017186</v>
      </c>
      <c r="U217">
        <f t="shared" si="67"/>
        <v>276.76142909411499</v>
      </c>
      <c r="V217">
        <f t="shared" si="68"/>
        <v>276.77907766178106</v>
      </c>
      <c r="W217">
        <f t="shared" si="61"/>
        <v>0.11745114160919456</v>
      </c>
      <c r="X217">
        <f t="shared" si="62"/>
        <v>1.7648567666071813E-2</v>
      </c>
    </row>
    <row r="218" spans="2:24" x14ac:dyDescent="0.25">
      <c r="B218">
        <f t="shared" si="71"/>
        <v>203</v>
      </c>
      <c r="C218">
        <f t="shared" si="72"/>
        <v>277.06952364903424</v>
      </c>
      <c r="D218">
        <f t="shared" si="73"/>
        <v>0.4009932736254147</v>
      </c>
      <c r="F218">
        <f t="shared" si="69"/>
        <v>203</v>
      </c>
      <c r="G218">
        <f t="shared" si="70"/>
        <v>277.16419914262059</v>
      </c>
      <c r="H218">
        <f t="shared" si="63"/>
        <v>0.39938966092875383</v>
      </c>
      <c r="I218">
        <f t="shared" si="64"/>
        <v>277.56358880354935</v>
      </c>
      <c r="J218">
        <f t="shared" si="65"/>
        <v>0.39261989712270295</v>
      </c>
      <c r="L218">
        <f t="shared" si="74"/>
        <v>203</v>
      </c>
      <c r="M218">
        <f t="shared" si="75"/>
        <v>277.18157142959018</v>
      </c>
      <c r="N218">
        <f t="shared" si="76"/>
        <v>0.39909536086616054</v>
      </c>
      <c r="O218">
        <f t="shared" si="77"/>
        <v>0.39571379171698923</v>
      </c>
      <c r="P218">
        <f t="shared" si="78"/>
        <v>0.39574245235593808</v>
      </c>
      <c r="Q218">
        <f t="shared" si="79"/>
        <v>0.39238711245608954</v>
      </c>
      <c r="S218">
        <f t="shared" si="60"/>
        <v>203</v>
      </c>
      <c r="T218">
        <f t="shared" si="66"/>
        <v>277.06952364903424</v>
      </c>
      <c r="U218">
        <f t="shared" si="67"/>
        <v>277.16419914262059</v>
      </c>
      <c r="V218">
        <f t="shared" si="68"/>
        <v>277.18157142959018</v>
      </c>
      <c r="W218">
        <f t="shared" si="61"/>
        <v>0.11204778055594034</v>
      </c>
      <c r="X218">
        <f t="shared" si="62"/>
        <v>1.7372286969589368E-2</v>
      </c>
    </row>
    <row r="219" spans="2:24" x14ac:dyDescent="0.25">
      <c r="B219">
        <f t="shared" si="71"/>
        <v>204</v>
      </c>
      <c r="C219">
        <f t="shared" si="72"/>
        <v>277.47051692265967</v>
      </c>
      <c r="D219">
        <f t="shared" si="73"/>
        <v>0.39419819919108612</v>
      </c>
      <c r="F219">
        <f t="shared" si="69"/>
        <v>204</v>
      </c>
      <c r="G219">
        <f t="shared" si="70"/>
        <v>277.56020392164629</v>
      </c>
      <c r="H219">
        <f t="shared" si="63"/>
        <v>0.392677305091509</v>
      </c>
      <c r="I219">
        <f t="shared" si="64"/>
        <v>277.95288122673782</v>
      </c>
      <c r="J219">
        <f t="shared" si="65"/>
        <v>0.38601366216241911</v>
      </c>
      <c r="L219">
        <f t="shared" si="74"/>
        <v>204</v>
      </c>
      <c r="M219">
        <f t="shared" si="75"/>
        <v>277.57730392316819</v>
      </c>
      <c r="N219">
        <f t="shared" si="76"/>
        <v>0.39238728136567624</v>
      </c>
      <c r="O219">
        <f t="shared" si="77"/>
        <v>0.38905871036969147</v>
      </c>
      <c r="P219">
        <f t="shared" si="78"/>
        <v>0.38908695424261108</v>
      </c>
      <c r="Q219">
        <f t="shared" si="79"/>
        <v>0.38578427045438834</v>
      </c>
      <c r="S219">
        <f t="shared" si="60"/>
        <v>204</v>
      </c>
      <c r="T219">
        <f t="shared" si="66"/>
        <v>277.47051692265967</v>
      </c>
      <c r="U219">
        <f t="shared" si="67"/>
        <v>277.56020392164629</v>
      </c>
      <c r="V219">
        <f t="shared" si="68"/>
        <v>277.57730392316819</v>
      </c>
      <c r="W219">
        <f t="shared" si="61"/>
        <v>0.1067870005085183</v>
      </c>
      <c r="X219">
        <f t="shared" si="62"/>
        <v>1.7100001521896502E-2</v>
      </c>
    </row>
    <row r="220" spans="2:24" x14ac:dyDescent="0.25">
      <c r="B220">
        <f t="shared" si="71"/>
        <v>205</v>
      </c>
      <c r="C220">
        <f t="shared" si="72"/>
        <v>277.86471512185074</v>
      </c>
      <c r="D220">
        <f t="shared" si="73"/>
        <v>0.38751048634879215</v>
      </c>
      <c r="F220">
        <f t="shared" si="69"/>
        <v>205</v>
      </c>
      <c r="G220">
        <f t="shared" si="70"/>
        <v>277.94954940527327</v>
      </c>
      <c r="H220">
        <f t="shared" si="63"/>
        <v>0.38607023456753836</v>
      </c>
      <c r="I220">
        <f t="shared" si="64"/>
        <v>278.33561963984079</v>
      </c>
      <c r="J220">
        <f t="shared" si="65"/>
        <v>0.37951132511158348</v>
      </c>
      <c r="L220">
        <f t="shared" si="74"/>
        <v>205</v>
      </c>
      <c r="M220">
        <f t="shared" si="75"/>
        <v>277.96638107000899</v>
      </c>
      <c r="N220">
        <f t="shared" si="76"/>
        <v>0.38578443698578302</v>
      </c>
      <c r="O220">
        <f t="shared" si="77"/>
        <v>0.38250817174511259</v>
      </c>
      <c r="P220">
        <f t="shared" si="78"/>
        <v>0.38253600310958014</v>
      </c>
      <c r="Q220">
        <f t="shared" si="79"/>
        <v>0.37928528486691038</v>
      </c>
      <c r="S220">
        <f t="shared" ref="S220:S283" si="80">S219+1</f>
        <v>205</v>
      </c>
      <c r="T220">
        <f t="shared" si="66"/>
        <v>277.86471512185074</v>
      </c>
      <c r="U220">
        <f t="shared" si="67"/>
        <v>277.94954940527327</v>
      </c>
      <c r="V220">
        <f t="shared" si="68"/>
        <v>277.96638107000899</v>
      </c>
      <c r="W220">
        <f t="shared" ref="W220:W283" si="81">ABS(T220-V220)</f>
        <v>0.10166594815825647</v>
      </c>
      <c r="X220">
        <f t="shared" ref="X220:X283" si="82">ABS(U220-V220)</f>
        <v>1.6831664735718732E-2</v>
      </c>
    </row>
    <row r="221" spans="2:24" x14ac:dyDescent="0.25">
      <c r="B221">
        <f t="shared" si="71"/>
        <v>206</v>
      </c>
      <c r="C221">
        <f t="shared" si="72"/>
        <v>278.25222560819952</v>
      </c>
      <c r="D221">
        <f t="shared" si="73"/>
        <v>0.38092872304395947</v>
      </c>
      <c r="F221">
        <f t="shared" si="69"/>
        <v>206</v>
      </c>
      <c r="G221">
        <f t="shared" si="70"/>
        <v>278.33234018511286</v>
      </c>
      <c r="H221">
        <f t="shared" si="63"/>
        <v>0.37956707052126737</v>
      </c>
      <c r="I221">
        <f t="shared" si="64"/>
        <v>278.71190725563412</v>
      </c>
      <c r="J221">
        <f t="shared" si="65"/>
        <v>0.37311151473840615</v>
      </c>
      <c r="L221">
        <f t="shared" si="74"/>
        <v>206</v>
      </c>
      <c r="M221">
        <f t="shared" si="75"/>
        <v>278.34890741526937</v>
      </c>
      <c r="N221">
        <f t="shared" si="76"/>
        <v>0.37928544904181311</v>
      </c>
      <c r="O221">
        <f t="shared" si="77"/>
        <v>0.37606080092867844</v>
      </c>
      <c r="P221">
        <f t="shared" si="78"/>
        <v>0.37608822406961107</v>
      </c>
      <c r="Q221">
        <f t="shared" si="79"/>
        <v>0.37288878468490355</v>
      </c>
      <c r="S221">
        <f t="shared" si="80"/>
        <v>206</v>
      </c>
      <c r="T221">
        <f t="shared" si="66"/>
        <v>278.25222560819952</v>
      </c>
      <c r="U221">
        <f t="shared" si="67"/>
        <v>278.33234018511286</v>
      </c>
      <c r="V221">
        <f t="shared" si="68"/>
        <v>278.34890741526937</v>
      </c>
      <c r="W221">
        <f t="shared" si="81"/>
        <v>9.6681807069842307E-2</v>
      </c>
      <c r="X221">
        <f t="shared" si="82"/>
        <v>1.6567230156510959E-2</v>
      </c>
    </row>
    <row r="222" spans="2:24" x14ac:dyDescent="0.25">
      <c r="B222">
        <f t="shared" si="71"/>
        <v>207</v>
      </c>
      <c r="C222">
        <f t="shared" si="72"/>
        <v>278.63315433124347</v>
      </c>
      <c r="D222">
        <f t="shared" si="73"/>
        <v>0.37445150485935669</v>
      </c>
      <c r="F222">
        <f t="shared" si="69"/>
        <v>207</v>
      </c>
      <c r="G222">
        <f t="shared" si="70"/>
        <v>278.70867947774269</v>
      </c>
      <c r="H222">
        <f t="shared" si="63"/>
        <v>0.37316644177409924</v>
      </c>
      <c r="I222">
        <f t="shared" si="64"/>
        <v>279.08184591951681</v>
      </c>
      <c r="J222">
        <f t="shared" si="65"/>
        <v>0.36681286789851753</v>
      </c>
      <c r="L222">
        <f t="shared" si="74"/>
        <v>207</v>
      </c>
      <c r="M222">
        <f t="shared" si="75"/>
        <v>278.72498612922323</v>
      </c>
      <c r="N222">
        <f t="shared" si="76"/>
        <v>0.37288894652526916</v>
      </c>
      <c r="O222">
        <f t="shared" si="77"/>
        <v>0.36971523089811431</v>
      </c>
      <c r="P222">
        <f t="shared" si="78"/>
        <v>0.36974225012409745</v>
      </c>
      <c r="Q222">
        <f t="shared" si="79"/>
        <v>0.36659340699798326</v>
      </c>
      <c r="S222">
        <f t="shared" si="80"/>
        <v>207</v>
      </c>
      <c r="T222">
        <f t="shared" si="66"/>
        <v>278.63315433124347</v>
      </c>
      <c r="U222">
        <f t="shared" si="67"/>
        <v>278.70867947774269</v>
      </c>
      <c r="V222">
        <f t="shared" si="68"/>
        <v>278.72498612922323</v>
      </c>
      <c r="W222">
        <f t="shared" si="81"/>
        <v>9.1831797979750718E-2</v>
      </c>
      <c r="X222">
        <f t="shared" si="82"/>
        <v>1.6306651480533674E-2</v>
      </c>
    </row>
    <row r="223" spans="2:24" x14ac:dyDescent="0.25">
      <c r="B223">
        <f t="shared" si="71"/>
        <v>208</v>
      </c>
      <c r="C223">
        <f t="shared" si="72"/>
        <v>279.00760583610281</v>
      </c>
      <c r="D223">
        <f t="shared" si="73"/>
        <v>0.36807743546842642</v>
      </c>
      <c r="F223">
        <f t="shared" si="69"/>
        <v>208</v>
      </c>
      <c r="G223">
        <f t="shared" si="70"/>
        <v>279.07866913257902</v>
      </c>
      <c r="H223">
        <f t="shared" si="63"/>
        <v>0.36686698522757649</v>
      </c>
      <c r="I223">
        <f t="shared" si="64"/>
        <v>279.44553611780663</v>
      </c>
      <c r="J223">
        <f t="shared" si="65"/>
        <v>0.36061402993255082</v>
      </c>
      <c r="L223">
        <f t="shared" si="74"/>
        <v>208</v>
      </c>
      <c r="M223">
        <f t="shared" si="75"/>
        <v>279.09471901515116</v>
      </c>
      <c r="N223">
        <f t="shared" si="76"/>
        <v>0.36659356652599467</v>
      </c>
      <c r="O223">
        <f t="shared" si="77"/>
        <v>0.36347010293279158</v>
      </c>
      <c r="P223">
        <f t="shared" si="78"/>
        <v>0.36349672257258248</v>
      </c>
      <c r="Q223">
        <f t="shared" si="79"/>
        <v>0.36039779739106803</v>
      </c>
      <c r="S223">
        <f t="shared" si="80"/>
        <v>208</v>
      </c>
      <c r="T223">
        <f t="shared" si="66"/>
        <v>279.00760583610281</v>
      </c>
      <c r="U223">
        <f t="shared" si="67"/>
        <v>279.07866913257902</v>
      </c>
      <c r="V223">
        <f t="shared" si="68"/>
        <v>279.09471901515116</v>
      </c>
      <c r="W223">
        <f t="shared" si="81"/>
        <v>8.7113179048344591E-2</v>
      </c>
      <c r="X223">
        <f t="shared" si="82"/>
        <v>1.6049882572133356E-2</v>
      </c>
    </row>
    <row r="224" spans="2:24" x14ac:dyDescent="0.25">
      <c r="B224">
        <f t="shared" si="71"/>
        <v>209</v>
      </c>
      <c r="C224">
        <f t="shared" si="72"/>
        <v>279.37568327157123</v>
      </c>
      <c r="D224">
        <f t="shared" si="73"/>
        <v>0.36180512706174034</v>
      </c>
      <c r="F224">
        <f t="shared" si="69"/>
        <v>209</v>
      </c>
      <c r="G224">
        <f t="shared" si="70"/>
        <v>279.4424096401591</v>
      </c>
      <c r="H224">
        <f t="shared" si="63"/>
        <v>0.36066734626126218</v>
      </c>
      <c r="I224">
        <f t="shared" si="64"/>
        <v>279.80307698642036</v>
      </c>
      <c r="J224">
        <f t="shared" si="65"/>
        <v>0.35451365503943932</v>
      </c>
      <c r="L224">
        <f t="shared" si="74"/>
        <v>209</v>
      </c>
      <c r="M224">
        <f t="shared" si="75"/>
        <v>279.4582065176391</v>
      </c>
      <c r="N224">
        <f t="shared" si="76"/>
        <v>0.36039795462912394</v>
      </c>
      <c r="O224">
        <f t="shared" si="77"/>
        <v>0.3573240669983726</v>
      </c>
      <c r="P224">
        <f t="shared" si="78"/>
        <v>0.35735029139752827</v>
      </c>
      <c r="Q224">
        <f t="shared" si="79"/>
        <v>0.35430061031707522</v>
      </c>
      <c r="S224">
        <f t="shared" si="80"/>
        <v>209</v>
      </c>
      <c r="T224">
        <f t="shared" si="66"/>
        <v>279.37568327157123</v>
      </c>
      <c r="U224">
        <f t="shared" si="67"/>
        <v>279.4424096401591</v>
      </c>
      <c r="V224">
        <f t="shared" si="68"/>
        <v>279.4582065176391</v>
      </c>
      <c r="W224">
        <f t="shared" si="81"/>
        <v>8.2523246067864875E-2</v>
      </c>
      <c r="X224">
        <f t="shared" si="82"/>
        <v>1.5796877479999694E-2</v>
      </c>
    </row>
    <row r="225" spans="2:24" x14ac:dyDescent="0.25">
      <c r="B225">
        <f t="shared" si="71"/>
        <v>210</v>
      </c>
      <c r="C225">
        <f t="shared" si="72"/>
        <v>279.73748839863299</v>
      </c>
      <c r="D225">
        <f t="shared" si="73"/>
        <v>0.35563320074751531</v>
      </c>
      <c r="F225">
        <f t="shared" si="69"/>
        <v>210</v>
      </c>
      <c r="G225">
        <f t="shared" si="70"/>
        <v>279.80000014080946</v>
      </c>
      <c r="H225">
        <f t="shared" si="63"/>
        <v>0.35456617910634541</v>
      </c>
      <c r="I225">
        <f t="shared" si="64"/>
        <v>280.15456631991583</v>
      </c>
      <c r="J225">
        <f t="shared" si="65"/>
        <v>0.34851040662637445</v>
      </c>
      <c r="L225">
        <f t="shared" si="74"/>
        <v>210</v>
      </c>
      <c r="M225">
        <f t="shared" si="75"/>
        <v>279.81554773126209</v>
      </c>
      <c r="N225">
        <f t="shared" si="76"/>
        <v>0.35430076528776072</v>
      </c>
      <c r="O225">
        <f t="shared" si="77"/>
        <v>0.35127578210761939</v>
      </c>
      <c r="P225">
        <f t="shared" si="78"/>
        <v>0.35130161562529139</v>
      </c>
      <c r="Q225">
        <f t="shared" si="79"/>
        <v>0.34830050944626417</v>
      </c>
      <c r="S225">
        <f t="shared" si="80"/>
        <v>210</v>
      </c>
      <c r="T225">
        <f t="shared" si="66"/>
        <v>279.73748839863299</v>
      </c>
      <c r="U225">
        <f t="shared" si="67"/>
        <v>279.80000014080946</v>
      </c>
      <c r="V225">
        <f t="shared" si="68"/>
        <v>279.81554773126209</v>
      </c>
      <c r="W225">
        <f t="shared" si="81"/>
        <v>7.8059332629095479E-2</v>
      </c>
      <c r="X225">
        <f t="shared" si="82"/>
        <v>1.5547590452626991E-2</v>
      </c>
    </row>
    <row r="226" spans="2:24" x14ac:dyDescent="0.25">
      <c r="B226">
        <f t="shared" si="71"/>
        <v>211</v>
      </c>
      <c r="C226">
        <f t="shared" si="72"/>
        <v>280.09312159938048</v>
      </c>
      <c r="D226">
        <f t="shared" si="73"/>
        <v>0.34956028692727897</v>
      </c>
      <c r="F226">
        <f t="shared" si="69"/>
        <v>211</v>
      </c>
      <c r="G226">
        <f t="shared" si="70"/>
        <v>280.1515384336758</v>
      </c>
      <c r="H226">
        <f t="shared" si="63"/>
        <v>0.34856214719586698</v>
      </c>
      <c r="I226">
        <f t="shared" si="64"/>
        <v>280.50010058087167</v>
      </c>
      <c r="J226">
        <f t="shared" si="65"/>
        <v>0.34260295763630289</v>
      </c>
      <c r="L226">
        <f t="shared" si="74"/>
        <v>211</v>
      </c>
      <c r="M226">
        <f t="shared" si="75"/>
        <v>280.16684040962872</v>
      </c>
      <c r="N226">
        <f t="shared" si="76"/>
        <v>0.34830066217233541</v>
      </c>
      <c r="O226">
        <f t="shared" si="77"/>
        <v>0.34532391665838125</v>
      </c>
      <c r="P226">
        <f t="shared" si="78"/>
        <v>0.34534936366422364</v>
      </c>
      <c r="Q226">
        <f t="shared" si="79"/>
        <v>0.34239616799318551</v>
      </c>
      <c r="S226">
        <f t="shared" si="80"/>
        <v>211</v>
      </c>
      <c r="T226">
        <f t="shared" si="66"/>
        <v>280.09312159938048</v>
      </c>
      <c r="U226">
        <f t="shared" si="67"/>
        <v>280.1515384336758</v>
      </c>
      <c r="V226">
        <f t="shared" si="68"/>
        <v>280.16684040962872</v>
      </c>
      <c r="W226">
        <f t="shared" si="81"/>
        <v>7.3718810248237787E-2</v>
      </c>
      <c r="X226">
        <f t="shared" si="82"/>
        <v>1.530197595292293E-2</v>
      </c>
    </row>
    <row r="227" spans="2:24" x14ac:dyDescent="0.25">
      <c r="B227">
        <f t="shared" si="71"/>
        <v>212</v>
      </c>
      <c r="C227">
        <f t="shared" si="72"/>
        <v>280.44268188630775</v>
      </c>
      <c r="D227">
        <f t="shared" si="73"/>
        <v>0.34358502564758509</v>
      </c>
      <c r="F227">
        <f t="shared" si="69"/>
        <v>212</v>
      </c>
      <c r="G227">
        <f t="shared" si="70"/>
        <v>280.49712098609189</v>
      </c>
      <c r="H227">
        <f t="shared" si="63"/>
        <v>0.34265392349251311</v>
      </c>
      <c r="I227">
        <f t="shared" si="64"/>
        <v>280.83977490958438</v>
      </c>
      <c r="J227">
        <f t="shared" si="65"/>
        <v>0.33678999085388839</v>
      </c>
      <c r="L227">
        <f t="shared" si="74"/>
        <v>212</v>
      </c>
      <c r="M227">
        <f t="shared" si="75"/>
        <v>280.51218097476385</v>
      </c>
      <c r="N227">
        <f t="shared" si="76"/>
        <v>0.34239631849754665</v>
      </c>
      <c r="O227">
        <f t="shared" si="77"/>
        <v>0.33946714874958184</v>
      </c>
      <c r="P227">
        <f t="shared" si="78"/>
        <v>0.3394922136208216</v>
      </c>
      <c r="Q227">
        <f t="shared" si="79"/>
        <v>0.33658626902208794</v>
      </c>
      <c r="S227">
        <f t="shared" si="80"/>
        <v>212</v>
      </c>
      <c r="T227">
        <f t="shared" si="66"/>
        <v>280.44268188630775</v>
      </c>
      <c r="U227">
        <f t="shared" si="67"/>
        <v>280.49712098609189</v>
      </c>
      <c r="V227">
        <f t="shared" si="68"/>
        <v>280.51218097476385</v>
      </c>
      <c r="W227">
        <f t="shared" si="81"/>
        <v>6.9499088456097979E-2</v>
      </c>
      <c r="X227">
        <f t="shared" si="82"/>
        <v>1.5059988671964675E-2</v>
      </c>
    </row>
    <row r="228" spans="2:24" x14ac:dyDescent="0.25">
      <c r="B228">
        <f t="shared" si="71"/>
        <v>213</v>
      </c>
      <c r="C228">
        <f t="shared" si="72"/>
        <v>280.78626691195535</v>
      </c>
      <c r="D228">
        <f t="shared" si="73"/>
        <v>0.33770606692877103</v>
      </c>
      <c r="F228">
        <f t="shared" si="69"/>
        <v>213</v>
      </c>
      <c r="G228">
        <f t="shared" si="70"/>
        <v>280.83684294326508</v>
      </c>
      <c r="H228">
        <f t="shared" si="63"/>
        <v>0.33684019079483091</v>
      </c>
      <c r="I228">
        <f t="shared" si="64"/>
        <v>281.1736831340599</v>
      </c>
      <c r="J228">
        <f t="shared" si="65"/>
        <v>0.3310701991907547</v>
      </c>
      <c r="L228">
        <f t="shared" si="74"/>
        <v>213</v>
      </c>
      <c r="M228">
        <f t="shared" si="75"/>
        <v>280.85166452680727</v>
      </c>
      <c r="N228">
        <f t="shared" si="76"/>
        <v>0.33658641732777483</v>
      </c>
      <c r="O228">
        <f t="shared" si="77"/>
        <v>0.33370416647611395</v>
      </c>
      <c r="P228">
        <f t="shared" si="78"/>
        <v>0.33372885359473425</v>
      </c>
      <c r="Q228">
        <f t="shared" si="79"/>
        <v>0.33086950573163271</v>
      </c>
      <c r="S228">
        <f t="shared" si="80"/>
        <v>213</v>
      </c>
      <c r="T228">
        <f t="shared" si="66"/>
        <v>280.78626691195535</v>
      </c>
      <c r="U228">
        <f t="shared" si="67"/>
        <v>280.83684294326508</v>
      </c>
      <c r="V228">
        <f t="shared" si="68"/>
        <v>280.85166452680727</v>
      </c>
      <c r="W228">
        <f t="shared" si="81"/>
        <v>6.5397614851917751E-2</v>
      </c>
      <c r="X228">
        <f t="shared" si="82"/>
        <v>1.4821583542186545E-2</v>
      </c>
    </row>
    <row r="229" spans="2:24" x14ac:dyDescent="0.25">
      <c r="B229">
        <f t="shared" si="71"/>
        <v>214</v>
      </c>
      <c r="C229">
        <f t="shared" si="72"/>
        <v>281.12397297888413</v>
      </c>
      <c r="D229">
        <f t="shared" si="73"/>
        <v>0.33192207107163718</v>
      </c>
      <c r="F229">
        <f t="shared" si="69"/>
        <v>214</v>
      </c>
      <c r="G229">
        <f t="shared" si="70"/>
        <v>281.17079813825785</v>
      </c>
      <c r="H229">
        <f t="shared" si="63"/>
        <v>0.33111964202274807</v>
      </c>
      <c r="I229">
        <f t="shared" si="64"/>
        <v>281.50191778028062</v>
      </c>
      <c r="J229">
        <f t="shared" si="65"/>
        <v>0.32544228595085511</v>
      </c>
      <c r="L229">
        <f t="shared" si="74"/>
        <v>214</v>
      </c>
      <c r="M229">
        <f t="shared" si="75"/>
        <v>281.18538485400745</v>
      </c>
      <c r="N229">
        <f t="shared" si="76"/>
        <v>0.33086965186179207</v>
      </c>
      <c r="O229">
        <f t="shared" si="77"/>
        <v>0.32803366820347735</v>
      </c>
      <c r="P229">
        <f t="shared" si="78"/>
        <v>0.32805798195353036</v>
      </c>
      <c r="Q229">
        <f t="shared" si="79"/>
        <v>0.32524458171976511</v>
      </c>
      <c r="S229">
        <f t="shared" si="80"/>
        <v>214</v>
      </c>
      <c r="T229">
        <f t="shared" si="66"/>
        <v>281.12397297888413</v>
      </c>
      <c r="U229">
        <f t="shared" si="67"/>
        <v>281.17079813825785</v>
      </c>
      <c r="V229">
        <f t="shared" si="68"/>
        <v>281.18538485400745</v>
      </c>
      <c r="W229">
        <f t="shared" si="81"/>
        <v>6.1411875123326354E-2</v>
      </c>
      <c r="X229">
        <f t="shared" si="82"/>
        <v>1.4586715749601353E-2</v>
      </c>
    </row>
    <row r="230" spans="2:24" x14ac:dyDescent="0.25">
      <c r="B230">
        <f t="shared" si="71"/>
        <v>215</v>
      </c>
      <c r="C230">
        <f t="shared" si="72"/>
        <v>281.45589504995576</v>
      </c>
      <c r="D230">
        <f t="shared" si="73"/>
        <v>0.32623170894292536</v>
      </c>
      <c r="F230">
        <f t="shared" si="69"/>
        <v>215</v>
      </c>
      <c r="G230">
        <f t="shared" si="70"/>
        <v>281.49907910224465</v>
      </c>
      <c r="H230">
        <f t="shared" si="63"/>
        <v>0.32549098048318104</v>
      </c>
      <c r="I230">
        <f t="shared" si="64"/>
        <v>281.8245700827278</v>
      </c>
      <c r="J230">
        <f t="shared" si="65"/>
        <v>0.31990496507676197</v>
      </c>
      <c r="L230">
        <f t="shared" si="74"/>
        <v>215</v>
      </c>
      <c r="M230">
        <f t="shared" si="75"/>
        <v>281.51343444299005</v>
      </c>
      <c r="N230">
        <f t="shared" si="76"/>
        <v>0.3252447256976399</v>
      </c>
      <c r="O230">
        <f t="shared" si="77"/>
        <v>0.32245436282294326</v>
      </c>
      <c r="P230">
        <f t="shared" si="78"/>
        <v>0.32247830758799323</v>
      </c>
      <c r="Q230">
        <f t="shared" si="79"/>
        <v>0.31971021122951154</v>
      </c>
      <c r="S230">
        <f t="shared" si="80"/>
        <v>215</v>
      </c>
      <c r="T230">
        <f t="shared" si="66"/>
        <v>281.45589504995576</v>
      </c>
      <c r="U230">
        <f t="shared" si="67"/>
        <v>281.49907910224465</v>
      </c>
      <c r="V230">
        <f t="shared" si="68"/>
        <v>281.51343444299005</v>
      </c>
      <c r="W230">
        <f t="shared" si="81"/>
        <v>5.7539393034289787E-2</v>
      </c>
      <c r="X230">
        <f t="shared" si="82"/>
        <v>1.4355340745396461E-2</v>
      </c>
    </row>
    <row r="231" spans="2:24" x14ac:dyDescent="0.25">
      <c r="B231">
        <f t="shared" si="71"/>
        <v>216</v>
      </c>
      <c r="C231">
        <f t="shared" si="72"/>
        <v>281.7821267588987</v>
      </c>
      <c r="D231">
        <f t="shared" si="73"/>
        <v>0.32063366224048084</v>
      </c>
      <c r="F231">
        <f t="shared" si="69"/>
        <v>216</v>
      </c>
      <c r="G231">
        <f t="shared" si="70"/>
        <v>281.82177707502461</v>
      </c>
      <c r="H231">
        <f t="shared" si="63"/>
        <v>0.31995292011657089</v>
      </c>
      <c r="I231">
        <f t="shared" si="64"/>
        <v>282.14172999514119</v>
      </c>
      <c r="J231">
        <f t="shared" si="65"/>
        <v>0.31445696137763973</v>
      </c>
      <c r="L231">
        <f t="shared" si="74"/>
        <v>216</v>
      </c>
      <c r="M231">
        <f t="shared" si="75"/>
        <v>281.83590448928157</v>
      </c>
      <c r="N231">
        <f t="shared" si="76"/>
        <v>0.31971035307842638</v>
      </c>
      <c r="O231">
        <f t="shared" si="77"/>
        <v>0.31696496998806911</v>
      </c>
      <c r="P231">
        <f t="shared" si="78"/>
        <v>0.31698855014874427</v>
      </c>
      <c r="Q231">
        <f t="shared" si="79"/>
        <v>0.31426511937649948</v>
      </c>
      <c r="S231">
        <f t="shared" si="80"/>
        <v>216</v>
      </c>
      <c r="T231">
        <f t="shared" si="66"/>
        <v>281.7821267588987</v>
      </c>
      <c r="U231">
        <f t="shared" si="67"/>
        <v>281.82177707502461</v>
      </c>
      <c r="V231">
        <f t="shared" si="68"/>
        <v>281.83590448928157</v>
      </c>
      <c r="W231">
        <f t="shared" si="81"/>
        <v>5.3777730382876143E-2</v>
      </c>
      <c r="X231">
        <f t="shared" si="82"/>
        <v>1.4127414256961401E-2</v>
      </c>
    </row>
    <row r="232" spans="2:24" x14ac:dyDescent="0.25">
      <c r="B232">
        <f t="shared" si="71"/>
        <v>217</v>
      </c>
      <c r="C232">
        <f t="shared" si="72"/>
        <v>282.10276042113918</v>
      </c>
      <c r="D232">
        <f t="shared" si="73"/>
        <v>0.31512662373888284</v>
      </c>
      <c r="F232">
        <f t="shared" si="69"/>
        <v>217</v>
      </c>
      <c r="G232">
        <f t="shared" si="70"/>
        <v>282.13898201577172</v>
      </c>
      <c r="H232">
        <f t="shared" si="63"/>
        <v>0.31450418572510347</v>
      </c>
      <c r="I232">
        <f t="shared" si="64"/>
        <v>282.45348620149684</v>
      </c>
      <c r="J232">
        <f t="shared" si="65"/>
        <v>0.30909701073967638</v>
      </c>
      <c r="L232">
        <f t="shared" si="74"/>
        <v>217</v>
      </c>
      <c r="M232">
        <f t="shared" si="75"/>
        <v>282.15288490806967</v>
      </c>
      <c r="N232">
        <f t="shared" si="76"/>
        <v>0.31426525911984277</v>
      </c>
      <c r="O232">
        <f t="shared" si="77"/>
        <v>0.31156422033329417</v>
      </c>
      <c r="P232">
        <f t="shared" si="78"/>
        <v>0.31158744026495894</v>
      </c>
      <c r="Q232">
        <f t="shared" si="79"/>
        <v>0.30890804235893926</v>
      </c>
      <c r="S232">
        <f t="shared" si="80"/>
        <v>217</v>
      </c>
      <c r="T232">
        <f t="shared" si="66"/>
        <v>282.10276042113918</v>
      </c>
      <c r="U232">
        <f t="shared" si="67"/>
        <v>282.13898201577172</v>
      </c>
      <c r="V232">
        <f t="shared" si="68"/>
        <v>282.15288490806967</v>
      </c>
      <c r="W232">
        <f t="shared" si="81"/>
        <v>5.0124486930485546E-2</v>
      </c>
      <c r="X232">
        <f t="shared" si="82"/>
        <v>1.3902892297949165E-2</v>
      </c>
    </row>
    <row r="233" spans="2:24" x14ac:dyDescent="0.25">
      <c r="B233">
        <f t="shared" si="71"/>
        <v>218</v>
      </c>
      <c r="C233">
        <f t="shared" si="72"/>
        <v>282.41788704487806</v>
      </c>
      <c r="D233">
        <f t="shared" si="73"/>
        <v>0.30970929751636617</v>
      </c>
      <c r="F233">
        <f t="shared" si="69"/>
        <v>218</v>
      </c>
      <c r="G233">
        <f t="shared" si="70"/>
        <v>282.45078261400408</v>
      </c>
      <c r="H233">
        <f t="shared" si="63"/>
        <v>0.30914351318335798</v>
      </c>
      <c r="I233">
        <f t="shared" si="64"/>
        <v>282.75992612718744</v>
      </c>
      <c r="J233">
        <f t="shared" si="65"/>
        <v>0.30382386031966474</v>
      </c>
      <c r="L233">
        <f t="shared" si="74"/>
        <v>218</v>
      </c>
      <c r="M233">
        <f t="shared" si="75"/>
        <v>282.46446434518219</v>
      </c>
      <c r="N233">
        <f t="shared" si="76"/>
        <v>0.30890818002014447</v>
      </c>
      <c r="O233">
        <f t="shared" si="77"/>
        <v>0.3062508556753552</v>
      </c>
      <c r="P233">
        <f t="shared" si="78"/>
        <v>0.30627371974589596</v>
      </c>
      <c r="Q233">
        <f t="shared" si="79"/>
        <v>0.30363772765077263</v>
      </c>
      <c r="S233">
        <f t="shared" si="80"/>
        <v>218</v>
      </c>
      <c r="T233">
        <f t="shared" si="66"/>
        <v>282.41788704487806</v>
      </c>
      <c r="U233">
        <f t="shared" si="67"/>
        <v>282.45078261400408</v>
      </c>
      <c r="V233">
        <f t="shared" si="68"/>
        <v>282.46446434518219</v>
      </c>
      <c r="W233">
        <f t="shared" si="81"/>
        <v>4.6577300304136315E-2</v>
      </c>
      <c r="X233">
        <f t="shared" si="82"/>
        <v>1.3681731178110113E-2</v>
      </c>
    </row>
    <row r="234" spans="2:24" x14ac:dyDescent="0.25">
      <c r="B234">
        <f t="shared" si="71"/>
        <v>219</v>
      </c>
      <c r="C234">
        <f t="shared" si="72"/>
        <v>282.72759634239441</v>
      </c>
      <c r="D234">
        <f t="shared" si="73"/>
        <v>0.30438039916381116</v>
      </c>
      <c r="F234">
        <f t="shared" si="69"/>
        <v>219</v>
      </c>
      <c r="G234">
        <f t="shared" si="70"/>
        <v>282.75726630075559</v>
      </c>
      <c r="H234">
        <f t="shared" si="63"/>
        <v>0.30386964963211377</v>
      </c>
      <c r="I234">
        <f t="shared" si="64"/>
        <v>283.06113595038772</v>
      </c>
      <c r="J234">
        <f t="shared" si="65"/>
        <v>0.29863626872244514</v>
      </c>
      <c r="L234">
        <f t="shared" si="74"/>
        <v>219</v>
      </c>
      <c r="M234">
        <f t="shared" si="75"/>
        <v>282.77073018826775</v>
      </c>
      <c r="N234">
        <f t="shared" si="76"/>
        <v>0.30363786325330472</v>
      </c>
      <c r="O234">
        <f t="shared" si="77"/>
        <v>0.30102362919826087</v>
      </c>
      <c r="P234">
        <f t="shared" si="78"/>
        <v>0.30104614176597133</v>
      </c>
      <c r="Q234">
        <f t="shared" si="79"/>
        <v>0.29845293417871238</v>
      </c>
      <c r="S234">
        <f t="shared" si="80"/>
        <v>219</v>
      </c>
      <c r="T234">
        <f t="shared" si="66"/>
        <v>282.72759634239441</v>
      </c>
      <c r="U234">
        <f t="shared" si="67"/>
        <v>282.75726630075559</v>
      </c>
      <c r="V234">
        <f t="shared" si="68"/>
        <v>282.77073018826775</v>
      </c>
      <c r="W234">
        <f t="shared" si="81"/>
        <v>4.3133845873342125E-2</v>
      </c>
      <c r="X234">
        <f t="shared" si="82"/>
        <v>1.3463887512159545E-2</v>
      </c>
    </row>
    <row r="235" spans="2:24" x14ac:dyDescent="0.25">
      <c r="B235">
        <f t="shared" si="71"/>
        <v>220</v>
      </c>
      <c r="C235">
        <f t="shared" si="72"/>
        <v>283.0319767415582</v>
      </c>
      <c r="D235">
        <f t="shared" si="73"/>
        <v>0.29913865597650613</v>
      </c>
      <c r="F235">
        <f t="shared" si="69"/>
        <v>220</v>
      </c>
      <c r="G235">
        <f t="shared" si="70"/>
        <v>283.05851925993289</v>
      </c>
      <c r="H235">
        <f t="shared" si="63"/>
        <v>0.29868135365601223</v>
      </c>
      <c r="I235">
        <f t="shared" si="64"/>
        <v>283.35720061358893</v>
      </c>
      <c r="J235">
        <f t="shared" si="65"/>
        <v>0.2935330061629105</v>
      </c>
      <c r="L235">
        <f t="shared" si="74"/>
        <v>220</v>
      </c>
      <c r="M235">
        <f t="shared" si="75"/>
        <v>283.07176857816114</v>
      </c>
      <c r="N235">
        <f t="shared" si="76"/>
        <v>0.29845306774605918</v>
      </c>
      <c r="O235">
        <f t="shared" si="77"/>
        <v>0.29588130562246506</v>
      </c>
      <c r="P235">
        <f t="shared" si="78"/>
        <v>0.29590347103404507</v>
      </c>
      <c r="Q235">
        <f t="shared" si="79"/>
        <v>0.29335243248385301</v>
      </c>
      <c r="S235">
        <f t="shared" si="80"/>
        <v>220</v>
      </c>
      <c r="T235">
        <f t="shared" si="66"/>
        <v>283.0319767415582</v>
      </c>
      <c r="U235">
        <f t="shared" si="67"/>
        <v>283.05851925993289</v>
      </c>
      <c r="V235">
        <f t="shared" si="68"/>
        <v>283.07176857816114</v>
      </c>
      <c r="W235">
        <f t="shared" si="81"/>
        <v>3.9791836602944386E-2</v>
      </c>
      <c r="X235">
        <f t="shared" si="82"/>
        <v>1.3249318228247375E-2</v>
      </c>
    </row>
    <row r="236" spans="2:24" x14ac:dyDescent="0.25">
      <c r="B236">
        <f t="shared" si="71"/>
        <v>221</v>
      </c>
      <c r="C236">
        <f t="shared" si="72"/>
        <v>283.33111539753469</v>
      </c>
      <c r="D236">
        <f t="shared" si="73"/>
        <v>0.29398280712947633</v>
      </c>
      <c r="F236">
        <f t="shared" si="69"/>
        <v>221</v>
      </c>
      <c r="G236">
        <f t="shared" si="70"/>
        <v>283.35462643984238</v>
      </c>
      <c r="H236">
        <f t="shared" si="63"/>
        <v>0.29357739544575356</v>
      </c>
      <c r="I236">
        <f t="shared" si="64"/>
        <v>283.64820383528814</v>
      </c>
      <c r="J236">
        <f t="shared" si="65"/>
        <v>0.28851285461317028</v>
      </c>
      <c r="L236">
        <f t="shared" si="74"/>
        <v>221</v>
      </c>
      <c r="M236">
        <f t="shared" si="75"/>
        <v>283.36766442041829</v>
      </c>
      <c r="N236">
        <f t="shared" si="76"/>
        <v>0.29335256403950377</v>
      </c>
      <c r="O236">
        <f t="shared" si="77"/>
        <v>0.29082266135894325</v>
      </c>
      <c r="P236">
        <f t="shared" si="78"/>
        <v>0.29084448394758583</v>
      </c>
      <c r="Q236">
        <f t="shared" si="79"/>
        <v>0.28833500486845431</v>
      </c>
      <c r="S236">
        <f t="shared" si="80"/>
        <v>221</v>
      </c>
      <c r="T236">
        <f t="shared" si="66"/>
        <v>283.33111539753469</v>
      </c>
      <c r="U236">
        <f t="shared" si="67"/>
        <v>283.35462643984238</v>
      </c>
      <c r="V236">
        <f t="shared" si="68"/>
        <v>283.36766442041829</v>
      </c>
      <c r="W236">
        <f t="shared" si="81"/>
        <v>3.6549022883605176E-2</v>
      </c>
      <c r="X236">
        <f t="shared" si="82"/>
        <v>1.3037980575916208E-2</v>
      </c>
    </row>
    <row r="237" spans="2:24" x14ac:dyDescent="0.25">
      <c r="B237">
        <f t="shared" si="71"/>
        <v>222</v>
      </c>
      <c r="C237">
        <f t="shared" si="72"/>
        <v>283.62509820466414</v>
      </c>
      <c r="D237">
        <f t="shared" si="73"/>
        <v>0.28891160383699588</v>
      </c>
      <c r="F237">
        <f t="shared" si="69"/>
        <v>222</v>
      </c>
      <c r="G237">
        <f t="shared" si="70"/>
        <v>283.64567156487186</v>
      </c>
      <c r="H237">
        <f t="shared" si="63"/>
        <v>0.28855655694548621</v>
      </c>
      <c r="I237">
        <f t="shared" si="64"/>
        <v>283.93422812181734</v>
      </c>
      <c r="J237">
        <f t="shared" si="65"/>
        <v>0.28357460793557471</v>
      </c>
      <c r="L237">
        <f t="shared" si="74"/>
        <v>222</v>
      </c>
      <c r="M237">
        <f t="shared" si="75"/>
        <v>283.65850139700512</v>
      </c>
      <c r="N237">
        <f t="shared" si="76"/>
        <v>0.28833513443589581</v>
      </c>
      <c r="O237">
        <f t="shared" si="77"/>
        <v>0.28584648464879248</v>
      </c>
      <c r="P237">
        <f t="shared" si="78"/>
        <v>0.2858679687323768</v>
      </c>
      <c r="Q237">
        <f t="shared" si="79"/>
        <v>0.28339944552861246</v>
      </c>
      <c r="S237">
        <f t="shared" si="80"/>
        <v>222</v>
      </c>
      <c r="T237">
        <f t="shared" si="66"/>
        <v>283.62509820466414</v>
      </c>
      <c r="U237">
        <f t="shared" si="67"/>
        <v>283.64567156487186</v>
      </c>
      <c r="V237">
        <f t="shared" si="68"/>
        <v>283.65850139700512</v>
      </c>
      <c r="W237">
        <f t="shared" si="81"/>
        <v>3.3403192340983878E-2</v>
      </c>
      <c r="X237">
        <f t="shared" si="82"/>
        <v>1.2829832133263608E-2</v>
      </c>
    </row>
    <row r="238" spans="2:24" x14ac:dyDescent="0.25">
      <c r="B238">
        <f t="shared" si="71"/>
        <v>223</v>
      </c>
      <c r="C238">
        <f t="shared" si="72"/>
        <v>283.91400980850113</v>
      </c>
      <c r="D238">
        <f t="shared" si="73"/>
        <v>0.28392380949701695</v>
      </c>
      <c r="F238">
        <f t="shared" si="69"/>
        <v>223</v>
      </c>
      <c r="G238">
        <f t="shared" si="70"/>
        <v>283.93173714731239</v>
      </c>
      <c r="H238">
        <f t="shared" si="63"/>
        <v>0.28361763198599038</v>
      </c>
      <c r="I238">
        <f t="shared" si="64"/>
        <v>284.21535477929837</v>
      </c>
      <c r="J238">
        <f t="shared" si="65"/>
        <v>0.27871707200213947</v>
      </c>
      <c r="L238">
        <f t="shared" si="74"/>
        <v>223</v>
      </c>
      <c r="M238">
        <f t="shared" si="75"/>
        <v>283.94436197812627</v>
      </c>
      <c r="N238">
        <f t="shared" si="76"/>
        <v>0.2833995731313102</v>
      </c>
      <c r="O238">
        <f t="shared" si="77"/>
        <v>0.2809515756889801</v>
      </c>
      <c r="P238">
        <f t="shared" si="78"/>
        <v>0.28097272556836411</v>
      </c>
      <c r="Q238">
        <f t="shared" si="79"/>
        <v>0.27854456067333511</v>
      </c>
      <c r="S238">
        <f t="shared" si="80"/>
        <v>223</v>
      </c>
      <c r="T238">
        <f t="shared" si="66"/>
        <v>283.91400980850113</v>
      </c>
      <c r="U238">
        <f t="shared" si="67"/>
        <v>283.93173714731239</v>
      </c>
      <c r="V238">
        <f t="shared" si="68"/>
        <v>283.94436197812627</v>
      </c>
      <c r="W238">
        <f t="shared" si="81"/>
        <v>3.0352169625132319E-2</v>
      </c>
      <c r="X238">
        <f t="shared" si="82"/>
        <v>1.2624830813876997E-2</v>
      </c>
    </row>
    <row r="239" spans="2:24" x14ac:dyDescent="0.25">
      <c r="B239">
        <f t="shared" si="71"/>
        <v>224</v>
      </c>
      <c r="C239">
        <f t="shared" si="72"/>
        <v>284.19793361799816</v>
      </c>
      <c r="D239">
        <f t="shared" si="73"/>
        <v>0.2790181998211399</v>
      </c>
      <c r="F239">
        <f t="shared" si="69"/>
        <v>224</v>
      </c>
      <c r="G239">
        <f t="shared" si="70"/>
        <v>284.21290449930643</v>
      </c>
      <c r="H239">
        <f t="shared" si="63"/>
        <v>0.27875942640432516</v>
      </c>
      <c r="I239">
        <f t="shared" si="64"/>
        <v>284.49166392571078</v>
      </c>
      <c r="J239">
        <f t="shared" si="65"/>
        <v>0.27393906480102836</v>
      </c>
      <c r="L239">
        <f t="shared" si="74"/>
        <v>224</v>
      </c>
      <c r="M239">
        <f t="shared" si="75"/>
        <v>284.22532743417946</v>
      </c>
      <c r="N239">
        <f t="shared" si="76"/>
        <v>0.27854468633472357</v>
      </c>
      <c r="O239">
        <f t="shared" si="77"/>
        <v>0.27613674674484484</v>
      </c>
      <c r="P239">
        <f t="shared" si="78"/>
        <v>0.27615756670222735</v>
      </c>
      <c r="Q239">
        <f t="shared" si="79"/>
        <v>0.27376916863069073</v>
      </c>
      <c r="S239">
        <f t="shared" si="80"/>
        <v>224</v>
      </c>
      <c r="T239">
        <f t="shared" si="66"/>
        <v>284.19793361799816</v>
      </c>
      <c r="U239">
        <f t="shared" si="67"/>
        <v>284.21290449930643</v>
      </c>
      <c r="V239">
        <f t="shared" si="68"/>
        <v>284.22532743417946</v>
      </c>
      <c r="W239">
        <f t="shared" si="81"/>
        <v>2.73938161813021E-2</v>
      </c>
      <c r="X239">
        <f t="shared" si="82"/>
        <v>1.242293487302959E-2</v>
      </c>
    </row>
    <row r="240" spans="2:24" x14ac:dyDescent="0.25">
      <c r="B240">
        <f t="shared" si="71"/>
        <v>225</v>
      </c>
      <c r="C240">
        <f t="shared" si="72"/>
        <v>284.47695181781933</v>
      </c>
      <c r="D240">
        <f t="shared" si="73"/>
        <v>0.27419356295075997</v>
      </c>
      <c r="F240">
        <f t="shared" si="69"/>
        <v>225</v>
      </c>
      <c r="G240">
        <f t="shared" si="70"/>
        <v>284.48925374490909</v>
      </c>
      <c r="H240">
        <f t="shared" si="63"/>
        <v>0.27398075815045841</v>
      </c>
      <c r="I240">
        <f t="shared" si="64"/>
        <v>284.76323450305955</v>
      </c>
      <c r="J240">
        <f t="shared" si="65"/>
        <v>0.26923941653059669</v>
      </c>
      <c r="L240">
        <f t="shared" si="74"/>
        <v>225</v>
      </c>
      <c r="M240">
        <f t="shared" si="75"/>
        <v>284.50147784782274</v>
      </c>
      <c r="N240">
        <f t="shared" si="76"/>
        <v>0.27376929237416042</v>
      </c>
      <c r="O240">
        <f t="shared" si="77"/>
        <v>0.27140082224992235</v>
      </c>
      <c r="P240">
        <f t="shared" si="78"/>
        <v>0.27142131654731133</v>
      </c>
      <c r="Q240">
        <f t="shared" si="79"/>
        <v>0.26907209994154174</v>
      </c>
      <c r="S240">
        <f t="shared" si="80"/>
        <v>225</v>
      </c>
      <c r="T240">
        <f t="shared" si="66"/>
        <v>284.47695181781933</v>
      </c>
      <c r="U240">
        <f t="shared" si="67"/>
        <v>284.48925374490909</v>
      </c>
      <c r="V240">
        <f t="shared" si="68"/>
        <v>284.50147784782274</v>
      </c>
      <c r="W240">
        <f t="shared" si="81"/>
        <v>2.4526030003414689E-2</v>
      </c>
      <c r="X240">
        <f t="shared" si="82"/>
        <v>1.2224102913648949E-2</v>
      </c>
    </row>
    <row r="241" spans="2:24" x14ac:dyDescent="0.25">
      <c r="B241">
        <f t="shared" si="71"/>
        <v>226</v>
      </c>
      <c r="C241">
        <f t="shared" si="72"/>
        <v>284.75114538077008</v>
      </c>
      <c r="D241">
        <f t="shared" si="73"/>
        <v>0.26944869955998785</v>
      </c>
      <c r="F241">
        <f t="shared" si="69"/>
        <v>226</v>
      </c>
      <c r="G241">
        <f t="shared" si="70"/>
        <v>284.76086383224964</v>
      </c>
      <c r="H241">
        <f t="shared" si="63"/>
        <v>0.26928045738150169</v>
      </c>
      <c r="I241">
        <f t="shared" si="64"/>
        <v>285.03014428963115</v>
      </c>
      <c r="J241">
        <f t="shared" si="65"/>
        <v>0.26461696968159099</v>
      </c>
      <c r="L241">
        <f t="shared" si="74"/>
        <v>226</v>
      </c>
      <c r="M241">
        <f t="shared" si="75"/>
        <v>284.77289212614113</v>
      </c>
      <c r="N241">
        <f t="shared" si="76"/>
        <v>0.26907222179043222</v>
      </c>
      <c r="O241">
        <f t="shared" si="77"/>
        <v>0.26674263889365057</v>
      </c>
      <c r="P241">
        <f t="shared" si="78"/>
        <v>0.26676281177141115</v>
      </c>
      <c r="Q241">
        <f t="shared" si="79"/>
        <v>0.26445219744144149</v>
      </c>
      <c r="S241">
        <f t="shared" si="80"/>
        <v>226</v>
      </c>
      <c r="T241">
        <f t="shared" si="66"/>
        <v>284.75114538077008</v>
      </c>
      <c r="U241">
        <f t="shared" si="67"/>
        <v>284.76086383224964</v>
      </c>
      <c r="V241">
        <f t="shared" si="68"/>
        <v>284.77289212614113</v>
      </c>
      <c r="W241">
        <f t="shared" si="81"/>
        <v>2.1746745371046927E-2</v>
      </c>
      <c r="X241">
        <f t="shared" si="82"/>
        <v>1.2028293891489739E-2</v>
      </c>
    </row>
    <row r="242" spans="2:24" x14ac:dyDescent="0.25">
      <c r="B242">
        <f t="shared" si="71"/>
        <v>227</v>
      </c>
      <c r="C242">
        <f t="shared" si="72"/>
        <v>285.02059408033006</v>
      </c>
      <c r="D242">
        <f t="shared" si="73"/>
        <v>0.26478242294594628</v>
      </c>
      <c r="F242">
        <f t="shared" si="69"/>
        <v>227</v>
      </c>
      <c r="G242">
        <f t="shared" si="70"/>
        <v>285.02781254578116</v>
      </c>
      <c r="H242">
        <f t="shared" si="63"/>
        <v>0.26465736654408889</v>
      </c>
      <c r="I242">
        <f t="shared" si="64"/>
        <v>285.29246991232526</v>
      </c>
      <c r="J242">
        <f t="shared" si="65"/>
        <v>0.26007057910803849</v>
      </c>
      <c r="L242">
        <f t="shared" si="74"/>
        <v>227</v>
      </c>
      <c r="M242">
        <f t="shared" si="75"/>
        <v>285.03964801290147</v>
      </c>
      <c r="N242">
        <f t="shared" si="76"/>
        <v>0.26445231741902619</v>
      </c>
      <c r="O242">
        <f t="shared" si="77"/>
        <v>0.26216104569751064</v>
      </c>
      <c r="P242">
        <f t="shared" si="78"/>
        <v>0.26218090137298822</v>
      </c>
      <c r="Q242">
        <f t="shared" si="79"/>
        <v>0.2599083163312228</v>
      </c>
      <c r="S242">
        <f t="shared" si="80"/>
        <v>227</v>
      </c>
      <c r="T242">
        <f t="shared" si="66"/>
        <v>285.02059408033006</v>
      </c>
      <c r="U242">
        <f t="shared" si="67"/>
        <v>285.02781254578116</v>
      </c>
      <c r="V242">
        <f t="shared" si="68"/>
        <v>285.03964801290147</v>
      </c>
      <c r="W242">
        <f t="shared" si="81"/>
        <v>1.905393257140986E-2</v>
      </c>
      <c r="X242">
        <f t="shared" si="82"/>
        <v>1.1835467120306475E-2</v>
      </c>
    </row>
    <row r="243" spans="2:24" x14ac:dyDescent="0.25">
      <c r="B243">
        <f t="shared" si="71"/>
        <v>228</v>
      </c>
      <c r="C243">
        <f t="shared" si="72"/>
        <v>285.28537650327598</v>
      </c>
      <c r="D243">
        <f t="shared" si="73"/>
        <v>0.26019355910699898</v>
      </c>
      <c r="F243">
        <f t="shared" si="69"/>
        <v>228</v>
      </c>
      <c r="G243">
        <f t="shared" si="70"/>
        <v>285.29017651860721</v>
      </c>
      <c r="H243">
        <f t="shared" si="63"/>
        <v>0.26011034044538867</v>
      </c>
      <c r="I243">
        <f t="shared" si="64"/>
        <v>285.55028685905262</v>
      </c>
      <c r="J243">
        <f t="shared" si="65"/>
        <v>0.25559911208727737</v>
      </c>
      <c r="L243">
        <f t="shared" si="74"/>
        <v>228</v>
      </c>
      <c r="M243">
        <f t="shared" si="75"/>
        <v>285.30182210088333</v>
      </c>
      <c r="N243">
        <f t="shared" si="76"/>
        <v>0.25990843446070477</v>
      </c>
      <c r="O243">
        <f t="shared" si="77"/>
        <v>0.25765490408009833</v>
      </c>
      <c r="P243">
        <f t="shared" si="78"/>
        <v>0.25767444674632223</v>
      </c>
      <c r="Q243">
        <f t="shared" si="79"/>
        <v>0.2554393242367633</v>
      </c>
      <c r="S243">
        <f t="shared" si="80"/>
        <v>228</v>
      </c>
      <c r="T243">
        <f t="shared" si="66"/>
        <v>285.28537650327598</v>
      </c>
      <c r="U243">
        <f t="shared" si="67"/>
        <v>285.29017651860721</v>
      </c>
      <c r="V243">
        <f t="shared" si="68"/>
        <v>285.30182210088333</v>
      </c>
      <c r="W243">
        <f t="shared" si="81"/>
        <v>1.6445597607344098E-2</v>
      </c>
      <c r="X243">
        <f t="shared" si="82"/>
        <v>1.1645582276116784E-2</v>
      </c>
    </row>
    <row r="244" spans="2:24" x14ac:dyDescent="0.25">
      <c r="B244">
        <f t="shared" si="71"/>
        <v>229</v>
      </c>
      <c r="C244">
        <f t="shared" si="72"/>
        <v>285.54557006238298</v>
      </c>
      <c r="D244">
        <f t="shared" si="73"/>
        <v>0.25568094680946074</v>
      </c>
      <c r="F244">
        <f t="shared" si="69"/>
        <v>229</v>
      </c>
      <c r="G244">
        <f t="shared" si="70"/>
        <v>285.54803124487353</v>
      </c>
      <c r="H244">
        <f t="shared" si="63"/>
        <v>0.25563824631332616</v>
      </c>
      <c r="I244">
        <f t="shared" si="64"/>
        <v>285.80366949118684</v>
      </c>
      <c r="J244">
        <f t="shared" si="65"/>
        <v>0.25120144836969754</v>
      </c>
      <c r="L244">
        <f t="shared" si="74"/>
        <v>229</v>
      </c>
      <c r="M244">
        <f t="shared" si="75"/>
        <v>285.55948984427505</v>
      </c>
      <c r="N244">
        <f t="shared" si="76"/>
        <v>0.25543944054126433</v>
      </c>
      <c r="O244">
        <f t="shared" si="77"/>
        <v>0.25322308791165676</v>
      </c>
      <c r="P244">
        <f t="shared" si="78"/>
        <v>0.25324232173612371</v>
      </c>
      <c r="Q244">
        <f t="shared" si="79"/>
        <v>0.25104410125846066</v>
      </c>
      <c r="S244">
        <f t="shared" si="80"/>
        <v>229</v>
      </c>
      <c r="T244">
        <f t="shared" si="66"/>
        <v>285.54557006238298</v>
      </c>
      <c r="U244">
        <f t="shared" si="67"/>
        <v>285.54803124487353</v>
      </c>
      <c r="V244">
        <f t="shared" si="68"/>
        <v>285.55948984427505</v>
      </c>
      <c r="W244">
        <f t="shared" si="81"/>
        <v>1.391978189207066E-2</v>
      </c>
      <c r="X244">
        <f t="shared" si="82"/>
        <v>1.1458599401521496E-2</v>
      </c>
    </row>
    <row r="245" spans="2:24" x14ac:dyDescent="0.25">
      <c r="B245">
        <f t="shared" si="71"/>
        <v>230</v>
      </c>
      <c r="C245">
        <f t="shared" si="72"/>
        <v>285.80125100919241</v>
      </c>
      <c r="D245">
        <f t="shared" si="73"/>
        <v>0.25124343764329748</v>
      </c>
      <c r="F245">
        <f t="shared" si="69"/>
        <v>230</v>
      </c>
      <c r="G245">
        <f t="shared" si="70"/>
        <v>285.80145109221502</v>
      </c>
      <c r="H245">
        <f t="shared" si="63"/>
        <v>0.25123996384646746</v>
      </c>
      <c r="I245">
        <f t="shared" si="64"/>
        <v>286.05269105606146</v>
      </c>
      <c r="J245">
        <f t="shared" si="65"/>
        <v>0.24687648021862965</v>
      </c>
      <c r="L245">
        <f t="shared" si="74"/>
        <v>230</v>
      </c>
      <c r="M245">
        <f t="shared" si="75"/>
        <v>285.81272557112425</v>
      </c>
      <c r="N245">
        <f t="shared" si="76"/>
        <v>0.25104421576100772</v>
      </c>
      <c r="O245">
        <f t="shared" si="77"/>
        <v>0.24886448355851853</v>
      </c>
      <c r="P245">
        <f t="shared" si="78"/>
        <v>0.248883412682042</v>
      </c>
      <c r="Q245">
        <f t="shared" si="79"/>
        <v>0.24672154001086294</v>
      </c>
      <c r="S245">
        <f t="shared" si="80"/>
        <v>230</v>
      </c>
      <c r="T245">
        <f t="shared" si="66"/>
        <v>285.80125100919241</v>
      </c>
      <c r="U245">
        <f t="shared" si="67"/>
        <v>285.80145109221502</v>
      </c>
      <c r="V245">
        <f t="shared" si="68"/>
        <v>285.81272557112425</v>
      </c>
      <c r="W245">
        <f t="shared" si="81"/>
        <v>1.147456193183416E-2</v>
      </c>
      <c r="X245">
        <f t="shared" si="82"/>
        <v>1.1274478909228947E-2</v>
      </c>
    </row>
    <row r="246" spans="2:24" x14ac:dyDescent="0.25">
      <c r="B246">
        <f t="shared" si="71"/>
        <v>231</v>
      </c>
      <c r="C246">
        <f t="shared" si="72"/>
        <v>286.05249444683574</v>
      </c>
      <c r="D246">
        <f t="shared" si="73"/>
        <v>0.24687989606736621</v>
      </c>
      <c r="F246">
        <f t="shared" si="69"/>
        <v>231</v>
      </c>
      <c r="G246">
        <f t="shared" si="70"/>
        <v>286.05050931424756</v>
      </c>
      <c r="H246">
        <f t="shared" si="63"/>
        <v>0.24691438525402862</v>
      </c>
      <c r="I246">
        <f t="shared" si="64"/>
        <v>286.29742369950156</v>
      </c>
      <c r="J246">
        <f t="shared" si="65"/>
        <v>0.24262311244082804</v>
      </c>
      <c r="L246">
        <f t="shared" si="74"/>
        <v>231</v>
      </c>
      <c r="M246">
        <f t="shared" si="75"/>
        <v>286.06160249583309</v>
      </c>
      <c r="N246">
        <f t="shared" si="76"/>
        <v>0.24672165273438634</v>
      </c>
      <c r="O246">
        <f t="shared" si="77"/>
        <v>0.24457798991796578</v>
      </c>
      <c r="P246">
        <f t="shared" si="78"/>
        <v>0.24459661845360359</v>
      </c>
      <c r="Q246">
        <f t="shared" si="79"/>
        <v>0.24247054565291434</v>
      </c>
      <c r="S246">
        <f t="shared" si="80"/>
        <v>231</v>
      </c>
      <c r="T246">
        <f t="shared" si="66"/>
        <v>286.05249444683574</v>
      </c>
      <c r="U246">
        <f t="shared" si="67"/>
        <v>286.05050931424756</v>
      </c>
      <c r="V246">
        <f t="shared" si="68"/>
        <v>286.06160249583309</v>
      </c>
      <c r="W246">
        <f t="shared" si="81"/>
        <v>9.1080489973478507E-3</v>
      </c>
      <c r="X246">
        <f t="shared" si="82"/>
        <v>1.1093181585522416E-2</v>
      </c>
    </row>
    <row r="247" spans="2:24" x14ac:dyDescent="0.25">
      <c r="B247">
        <f t="shared" si="71"/>
        <v>232</v>
      </c>
      <c r="C247">
        <f t="shared" si="72"/>
        <v>286.29937434290309</v>
      </c>
      <c r="D247">
        <f t="shared" si="73"/>
        <v>0.24258919944463786</v>
      </c>
      <c r="F247">
        <f t="shared" si="69"/>
        <v>232</v>
      </c>
      <c r="G247">
        <f t="shared" si="70"/>
        <v>286.295278063095</v>
      </c>
      <c r="H247">
        <f t="shared" si="63"/>
        <v>0.2426604152865354</v>
      </c>
      <c r="I247">
        <f t="shared" si="64"/>
        <v>286.53793847838153</v>
      </c>
      <c r="J247">
        <f t="shared" si="65"/>
        <v>0.23844026240803179</v>
      </c>
      <c r="L247">
        <f t="shared" si="74"/>
        <v>232</v>
      </c>
      <c r="M247">
        <f t="shared" si="75"/>
        <v>286.30619273168816</v>
      </c>
      <c r="N247">
        <f t="shared" si="76"/>
        <v>0.2424706566202382</v>
      </c>
      <c r="O247">
        <f t="shared" si="77"/>
        <v>0.24036251844392839</v>
      </c>
      <c r="P247">
        <f t="shared" si="78"/>
        <v>0.24038085047596475</v>
      </c>
      <c r="Q247">
        <f t="shared" si="79"/>
        <v>0.23829003590928577</v>
      </c>
      <c r="S247">
        <f t="shared" si="80"/>
        <v>232</v>
      </c>
      <c r="T247">
        <f t="shared" si="66"/>
        <v>286.29937434290309</v>
      </c>
      <c r="U247">
        <f t="shared" si="67"/>
        <v>286.295278063095</v>
      </c>
      <c r="V247">
        <f t="shared" si="68"/>
        <v>286.30619273168816</v>
      </c>
      <c r="W247">
        <f t="shared" si="81"/>
        <v>6.8183887850636893E-3</v>
      </c>
      <c r="X247">
        <f t="shared" si="82"/>
        <v>1.0914668593159149E-2</v>
      </c>
    </row>
    <row r="248" spans="2:24" x14ac:dyDescent="0.25">
      <c r="B248">
        <f t="shared" si="71"/>
        <v>233</v>
      </c>
      <c r="C248">
        <f t="shared" si="72"/>
        <v>286.54196354234773</v>
      </c>
      <c r="D248">
        <f t="shared" si="73"/>
        <v>0.23837023806790131</v>
      </c>
      <c r="F248">
        <f t="shared" si="69"/>
        <v>233</v>
      </c>
      <c r="G248">
        <f t="shared" si="70"/>
        <v>286.5358284019423</v>
      </c>
      <c r="H248">
        <f t="shared" si="63"/>
        <v>0.23847697125748515</v>
      </c>
      <c r="I248">
        <f t="shared" si="64"/>
        <v>286.77430537319981</v>
      </c>
      <c r="J248">
        <f t="shared" si="65"/>
        <v>0.23432686006998732</v>
      </c>
      <c r="L248">
        <f t="shared" si="74"/>
        <v>233</v>
      </c>
      <c r="M248">
        <f t="shared" si="75"/>
        <v>286.5465673034164</v>
      </c>
      <c r="N248">
        <f t="shared" si="76"/>
        <v>0.238290145143113</v>
      </c>
      <c r="O248">
        <f t="shared" si="77"/>
        <v>0.23621699316396186</v>
      </c>
      <c r="P248">
        <f t="shared" si="78"/>
        <v>0.23623503274696828</v>
      </c>
      <c r="Q248">
        <f t="shared" si="79"/>
        <v>0.23417894108316983</v>
      </c>
      <c r="S248">
        <f t="shared" si="80"/>
        <v>233</v>
      </c>
      <c r="T248">
        <f t="shared" si="66"/>
        <v>286.54196354234773</v>
      </c>
      <c r="U248">
        <f t="shared" si="67"/>
        <v>286.5358284019423</v>
      </c>
      <c r="V248">
        <f t="shared" si="68"/>
        <v>286.5465673034164</v>
      </c>
      <c r="W248">
        <f t="shared" si="81"/>
        <v>4.6037610686653352E-3</v>
      </c>
      <c r="X248">
        <f t="shared" si="82"/>
        <v>1.0738901474098839E-2</v>
      </c>
    </row>
    <row r="249" spans="2:24" x14ac:dyDescent="0.25">
      <c r="B249">
        <f t="shared" si="71"/>
        <v>234</v>
      </c>
      <c r="C249">
        <f t="shared" si="72"/>
        <v>286.78033378041562</v>
      </c>
      <c r="D249">
        <f t="shared" si="73"/>
        <v>0.23422191517640029</v>
      </c>
      <c r="F249">
        <f t="shared" si="69"/>
        <v>234</v>
      </c>
      <c r="G249">
        <f t="shared" si="70"/>
        <v>286.77223031760604</v>
      </c>
      <c r="H249">
        <f t="shared" si="63"/>
        <v>0.23436298305651532</v>
      </c>
      <c r="I249">
        <f t="shared" si="64"/>
        <v>287.00659330066259</v>
      </c>
      <c r="J249">
        <f t="shared" si="65"/>
        <v>0.23028184795937304</v>
      </c>
      <c r="L249">
        <f t="shared" si="74"/>
        <v>234</v>
      </c>
      <c r="M249">
        <f t="shared" si="75"/>
        <v>286.78279615975777</v>
      </c>
      <c r="N249">
        <f t="shared" si="76"/>
        <v>0.2341790486060904</v>
      </c>
      <c r="O249">
        <f t="shared" si="77"/>
        <v>0.2321403506879271</v>
      </c>
      <c r="P249">
        <f t="shared" si="78"/>
        <v>0.23215810184587571</v>
      </c>
      <c r="Q249">
        <f t="shared" si="79"/>
        <v>0.23013620406100491</v>
      </c>
      <c r="S249">
        <f t="shared" si="80"/>
        <v>234</v>
      </c>
      <c r="T249">
        <f t="shared" si="66"/>
        <v>286.78033378041562</v>
      </c>
      <c r="U249">
        <f t="shared" si="67"/>
        <v>286.77223031760604</v>
      </c>
      <c r="V249">
        <f t="shared" si="68"/>
        <v>286.78279615975777</v>
      </c>
      <c r="W249">
        <f t="shared" si="81"/>
        <v>2.4623793421483242E-3</v>
      </c>
      <c r="X249">
        <f t="shared" si="82"/>
        <v>1.0565842151720517E-2</v>
      </c>
    </row>
    <row r="250" spans="2:24" x14ac:dyDescent="0.25">
      <c r="B250">
        <f t="shared" si="71"/>
        <v>235</v>
      </c>
      <c r="C250">
        <f t="shared" si="72"/>
        <v>287.01455569559204</v>
      </c>
      <c r="D250">
        <f t="shared" si="73"/>
        <v>0.23014314696383736</v>
      </c>
      <c r="F250">
        <f t="shared" si="69"/>
        <v>235</v>
      </c>
      <c r="G250">
        <f t="shared" si="70"/>
        <v>287.004552733114</v>
      </c>
      <c r="H250">
        <f t="shared" si="63"/>
        <v>0.23031739315444397</v>
      </c>
      <c r="I250">
        <f t="shared" si="64"/>
        <v>287.23487012626845</v>
      </c>
      <c r="J250">
        <f t="shared" si="65"/>
        <v>0.22630418118900272</v>
      </c>
      <c r="L250">
        <f t="shared" si="74"/>
        <v>235</v>
      </c>
      <c r="M250">
        <f t="shared" si="75"/>
        <v>287.01494818604687</v>
      </c>
      <c r="N250">
        <f t="shared" si="76"/>
        <v>0.23013630989547529</v>
      </c>
      <c r="O250">
        <f t="shared" si="77"/>
        <v>0.22813154020877235</v>
      </c>
      <c r="P250">
        <f t="shared" si="78"/>
        <v>0.22814900693421356</v>
      </c>
      <c r="Q250">
        <f t="shared" si="79"/>
        <v>0.22616078030948086</v>
      </c>
      <c r="S250">
        <f t="shared" si="80"/>
        <v>235</v>
      </c>
      <c r="T250">
        <f t="shared" si="66"/>
        <v>287.01455569559204</v>
      </c>
      <c r="U250">
        <f t="shared" si="67"/>
        <v>287.004552733114</v>
      </c>
      <c r="V250">
        <f t="shared" si="68"/>
        <v>287.01494818604687</v>
      </c>
      <c r="W250">
        <f t="shared" si="81"/>
        <v>3.9249045482847578E-4</v>
      </c>
      <c r="X250">
        <f t="shared" si="82"/>
        <v>1.039545293286892E-2</v>
      </c>
    </row>
    <row r="251" spans="2:24" x14ac:dyDescent="0.25">
      <c r="B251">
        <f t="shared" si="71"/>
        <v>236</v>
      </c>
      <c r="C251">
        <f t="shared" si="72"/>
        <v>287.24469884255586</v>
      </c>
      <c r="D251">
        <f t="shared" si="73"/>
        <v>0.22613286257816434</v>
      </c>
      <c r="F251">
        <f t="shared" si="69"/>
        <v>236</v>
      </c>
      <c r="G251">
        <f t="shared" si="70"/>
        <v>287.23286352028572</v>
      </c>
      <c r="H251">
        <f t="shared" si="63"/>
        <v>0.22633915660060827</v>
      </c>
      <c r="I251">
        <f t="shared" si="64"/>
        <v>287.45920267688632</v>
      </c>
      <c r="J251">
        <f t="shared" si="65"/>
        <v>0.22239282744171152</v>
      </c>
      <c r="L251">
        <f t="shared" si="74"/>
        <v>236</v>
      </c>
      <c r="M251">
        <f t="shared" si="75"/>
        <v>287.24309121679534</v>
      </c>
      <c r="N251">
        <f t="shared" si="76"/>
        <v>0.22616088447782395</v>
      </c>
      <c r="O251">
        <f t="shared" si="77"/>
        <v>0.22418952349581103</v>
      </c>
      <c r="P251">
        <f t="shared" si="78"/>
        <v>0.22420670974910636</v>
      </c>
      <c r="Q251">
        <f t="shared" si="79"/>
        <v>0.22225163786522739</v>
      </c>
      <c r="S251">
        <f t="shared" si="80"/>
        <v>236</v>
      </c>
      <c r="T251">
        <f t="shared" si="66"/>
        <v>287.24469884255586</v>
      </c>
      <c r="U251">
        <f t="shared" si="67"/>
        <v>287.23286352028572</v>
      </c>
      <c r="V251">
        <f t="shared" si="68"/>
        <v>287.24309121679534</v>
      </c>
      <c r="W251">
        <f t="shared" si="81"/>
        <v>1.6076257605277533E-3</v>
      </c>
      <c r="X251">
        <f t="shared" si="82"/>
        <v>1.0227696509616635E-2</v>
      </c>
    </row>
    <row r="252" spans="2:24" x14ac:dyDescent="0.25">
      <c r="B252">
        <f t="shared" si="71"/>
        <v>237</v>
      </c>
      <c r="C252">
        <f t="shared" si="72"/>
        <v>287.470831705134</v>
      </c>
      <c r="D252">
        <f t="shared" si="73"/>
        <v>0.22219000411358297</v>
      </c>
      <c r="F252">
        <f t="shared" si="69"/>
        <v>237</v>
      </c>
      <c r="G252">
        <f t="shared" si="70"/>
        <v>287.45722951230687</v>
      </c>
      <c r="H252">
        <f t="shared" si="63"/>
        <v>0.22242724101283831</v>
      </c>
      <c r="I252">
        <f t="shared" si="64"/>
        <v>287.6796567533197</v>
      </c>
      <c r="J252">
        <f t="shared" si="65"/>
        <v>0.21854676695327324</v>
      </c>
      <c r="L252">
        <f t="shared" si="74"/>
        <v>237</v>
      </c>
      <c r="M252">
        <f t="shared" si="75"/>
        <v>287.4672920482675</v>
      </c>
      <c r="N252">
        <f t="shared" si="76"/>
        <v>0.2222517403896232</v>
      </c>
      <c r="O252">
        <f t="shared" si="77"/>
        <v>0.22031327488085556</v>
      </c>
      <c r="P252">
        <f t="shared" si="78"/>
        <v>0.2203301845894676</v>
      </c>
      <c r="Q252">
        <f t="shared" si="79"/>
        <v>0.21840775731754464</v>
      </c>
      <c r="S252">
        <f t="shared" si="80"/>
        <v>237</v>
      </c>
      <c r="T252">
        <f t="shared" si="66"/>
        <v>287.470831705134</v>
      </c>
      <c r="U252">
        <f t="shared" si="67"/>
        <v>287.45722951230687</v>
      </c>
      <c r="V252">
        <f t="shared" si="68"/>
        <v>287.4672920482675</v>
      </c>
      <c r="W252">
        <f t="shared" si="81"/>
        <v>3.5396568665078121E-3</v>
      </c>
      <c r="X252">
        <f t="shared" si="82"/>
        <v>1.0062535960628338E-2</v>
      </c>
    </row>
    <row r="253" spans="2:24" x14ac:dyDescent="0.25">
      <c r="B253">
        <f t="shared" si="71"/>
        <v>238</v>
      </c>
      <c r="C253">
        <f t="shared" si="72"/>
        <v>287.6930217092476</v>
      </c>
      <c r="D253">
        <f t="shared" si="73"/>
        <v>0.21831352659512787</v>
      </c>
      <c r="F253">
        <f t="shared" si="69"/>
        <v>238</v>
      </c>
      <c r="G253">
        <f t="shared" si="70"/>
        <v>287.67771651628993</v>
      </c>
      <c r="H253">
        <f t="shared" si="63"/>
        <v>0.21858062656050622</v>
      </c>
      <c r="I253">
        <f t="shared" si="64"/>
        <v>287.89629714285041</v>
      </c>
      <c r="J253">
        <f t="shared" si="65"/>
        <v>0.21476499248869543</v>
      </c>
      <c r="L253">
        <f t="shared" si="74"/>
        <v>238</v>
      </c>
      <c r="M253">
        <f t="shared" si="75"/>
        <v>287.68761645104212</v>
      </c>
      <c r="N253">
        <f t="shared" si="76"/>
        <v>0.21840785822002914</v>
      </c>
      <c r="O253">
        <f t="shared" si="77"/>
        <v>0.21650178123758701</v>
      </c>
      <c r="P253">
        <f t="shared" si="78"/>
        <v>0.21651841829541923</v>
      </c>
      <c r="Q253">
        <f t="shared" si="79"/>
        <v>0.21462813178454265</v>
      </c>
      <c r="S253">
        <f t="shared" si="80"/>
        <v>238</v>
      </c>
      <c r="T253">
        <f t="shared" si="66"/>
        <v>287.6930217092476</v>
      </c>
      <c r="U253">
        <f t="shared" si="67"/>
        <v>287.67771651628993</v>
      </c>
      <c r="V253">
        <f t="shared" si="68"/>
        <v>287.68761645104212</v>
      </c>
      <c r="W253">
        <f t="shared" si="81"/>
        <v>5.4052582054850973E-3</v>
      </c>
      <c r="X253">
        <f t="shared" si="82"/>
        <v>9.8999347521839809E-3</v>
      </c>
    </row>
    <row r="254" spans="2:24" x14ac:dyDescent="0.25">
      <c r="B254">
        <f t="shared" si="71"/>
        <v>239</v>
      </c>
      <c r="C254">
        <f t="shared" si="72"/>
        <v>287.91133523584273</v>
      </c>
      <c r="D254">
        <f t="shared" si="73"/>
        <v>0.21450239795621021</v>
      </c>
      <c r="F254">
        <f t="shared" si="69"/>
        <v>239</v>
      </c>
      <c r="G254">
        <f t="shared" si="70"/>
        <v>287.89438932581453</v>
      </c>
      <c r="H254">
        <f t="shared" si="63"/>
        <v>0.21479830594092197</v>
      </c>
      <c r="I254">
        <f t="shared" si="64"/>
        <v>288.10918763175545</v>
      </c>
      <c r="J254">
        <f t="shared" si="65"/>
        <v>0.2110465093122694</v>
      </c>
      <c r="L254">
        <f t="shared" si="74"/>
        <v>239</v>
      </c>
      <c r="M254">
        <f t="shared" si="75"/>
        <v>287.9041291825539</v>
      </c>
      <c r="N254">
        <f t="shared" si="76"/>
        <v>0.21462823108699886</v>
      </c>
      <c r="O254">
        <f t="shared" si="77"/>
        <v>0.21275404195449041</v>
      </c>
      <c r="P254">
        <f t="shared" si="78"/>
        <v>0.21277041022128537</v>
      </c>
      <c r="Q254">
        <f t="shared" si="79"/>
        <v>0.21091176688301499</v>
      </c>
      <c r="S254">
        <f t="shared" si="80"/>
        <v>239</v>
      </c>
      <c r="T254">
        <f t="shared" si="66"/>
        <v>287.91133523584273</v>
      </c>
      <c r="U254">
        <f t="shared" si="67"/>
        <v>287.89438932581453</v>
      </c>
      <c r="V254">
        <f t="shared" si="68"/>
        <v>287.9041291825539</v>
      </c>
      <c r="W254">
        <f t="shared" si="81"/>
        <v>7.2060532888258422E-3</v>
      </c>
      <c r="X254">
        <f t="shared" si="82"/>
        <v>9.7398567393724989E-3</v>
      </c>
    </row>
    <row r="255" spans="2:24" x14ac:dyDescent="0.25">
      <c r="B255">
        <f t="shared" si="71"/>
        <v>240</v>
      </c>
      <c r="C255">
        <f t="shared" si="72"/>
        <v>288.12583763379894</v>
      </c>
      <c r="D255">
        <f t="shared" si="73"/>
        <v>0.21075559900950763</v>
      </c>
      <c r="F255">
        <f t="shared" si="69"/>
        <v>240</v>
      </c>
      <c r="G255">
        <f t="shared" si="70"/>
        <v>288.10731173344112</v>
      </c>
      <c r="H255">
        <f t="shared" si="63"/>
        <v>0.21107928434947923</v>
      </c>
      <c r="I255">
        <f t="shared" si="64"/>
        <v>288.31839101779059</v>
      </c>
      <c r="J255">
        <f t="shared" si="65"/>
        <v>0.20739033515166272</v>
      </c>
      <c r="L255">
        <f t="shared" si="74"/>
        <v>240</v>
      </c>
      <c r="M255">
        <f t="shared" si="75"/>
        <v>288.1168939996075</v>
      </c>
      <c r="N255">
        <f t="shared" si="76"/>
        <v>0.21091186460716921</v>
      </c>
      <c r="O255">
        <f t="shared" si="77"/>
        <v>0.20906906890169444</v>
      </c>
      <c r="P255">
        <f t="shared" si="78"/>
        <v>0.20908517220246745</v>
      </c>
      <c r="Q255">
        <f t="shared" si="79"/>
        <v>0.20725768069237047</v>
      </c>
      <c r="S255">
        <f t="shared" si="80"/>
        <v>240</v>
      </c>
      <c r="T255">
        <f t="shared" si="66"/>
        <v>288.12583763379894</v>
      </c>
      <c r="U255">
        <f t="shared" si="67"/>
        <v>288.10731173344112</v>
      </c>
      <c r="V255">
        <f t="shared" si="68"/>
        <v>288.1168939996075</v>
      </c>
      <c r="W255">
        <f t="shared" si="81"/>
        <v>8.943634191439287E-3</v>
      </c>
      <c r="X255">
        <f t="shared" si="82"/>
        <v>9.58226616637603E-3</v>
      </c>
    </row>
    <row r="256" spans="2:24" x14ac:dyDescent="0.25">
      <c r="B256">
        <f t="shared" si="71"/>
        <v>241</v>
      </c>
      <c r="C256">
        <f t="shared" si="72"/>
        <v>288.33659323280847</v>
      </c>
      <c r="D256">
        <f t="shared" si="73"/>
        <v>0.2070721234115209</v>
      </c>
      <c r="F256">
        <f t="shared" si="69"/>
        <v>241</v>
      </c>
      <c r="G256">
        <f t="shared" si="70"/>
        <v>288.31654654319169</v>
      </c>
      <c r="H256">
        <f t="shared" si="63"/>
        <v>0.20742257944384185</v>
      </c>
      <c r="I256">
        <f t="shared" si="64"/>
        <v>288.52396912263555</v>
      </c>
      <c r="J256">
        <f t="shared" si="65"/>
        <v>0.20379550015638576</v>
      </c>
      <c r="L256">
        <f t="shared" si="74"/>
        <v>241</v>
      </c>
      <c r="M256">
        <f t="shared" si="75"/>
        <v>288.32597367085879</v>
      </c>
      <c r="N256">
        <f t="shared" si="76"/>
        <v>0.20725777685979216</v>
      </c>
      <c r="O256">
        <f t="shared" si="77"/>
        <v>0.20544588639204583</v>
      </c>
      <c r="P256">
        <f t="shared" si="78"/>
        <v>0.20546172851658451</v>
      </c>
      <c r="Q256">
        <f t="shared" si="79"/>
        <v>0.20366490371297169</v>
      </c>
      <c r="S256">
        <f t="shared" si="80"/>
        <v>241</v>
      </c>
      <c r="T256">
        <f t="shared" si="66"/>
        <v>288.33659323280847</v>
      </c>
      <c r="U256">
        <f t="shared" si="67"/>
        <v>288.31654654319169</v>
      </c>
      <c r="V256">
        <f t="shared" si="68"/>
        <v>288.32597367085879</v>
      </c>
      <c r="W256">
        <f t="shared" si="81"/>
        <v>1.0619561949681611E-2</v>
      </c>
      <c r="X256">
        <f t="shared" si="82"/>
        <v>9.427127667095192E-3</v>
      </c>
    </row>
    <row r="257" spans="2:24" x14ac:dyDescent="0.25">
      <c r="B257">
        <f t="shared" si="71"/>
        <v>242</v>
      </c>
      <c r="C257">
        <f t="shared" si="72"/>
        <v>288.54366535622</v>
      </c>
      <c r="D257">
        <f t="shared" si="73"/>
        <v>0.20345097762115585</v>
      </c>
      <c r="F257">
        <f t="shared" si="69"/>
        <v>242</v>
      </c>
      <c r="G257">
        <f t="shared" si="70"/>
        <v>288.52215558299179</v>
      </c>
      <c r="H257">
        <f t="shared" si="63"/>
        <v>0.20382722130252381</v>
      </c>
      <c r="I257">
        <f t="shared" si="64"/>
        <v>288.72598280429429</v>
      </c>
      <c r="J257">
        <f t="shared" si="65"/>
        <v>0.20026104685094701</v>
      </c>
      <c r="L257">
        <f t="shared" si="74"/>
        <v>242</v>
      </c>
      <c r="M257">
        <f t="shared" si="75"/>
        <v>288.53142998925711</v>
      </c>
      <c r="N257">
        <f t="shared" si="76"/>
        <v>0.20366499834505744</v>
      </c>
      <c r="O257">
        <f t="shared" si="77"/>
        <v>0.20188353113671492</v>
      </c>
      <c r="P257">
        <f t="shared" si="78"/>
        <v>0.20189911583910203</v>
      </c>
      <c r="Q257">
        <f t="shared" si="79"/>
        <v>0.20013247881912719</v>
      </c>
      <c r="S257">
        <f t="shared" si="80"/>
        <v>242</v>
      </c>
      <c r="T257">
        <f t="shared" si="66"/>
        <v>288.54366535622</v>
      </c>
      <c r="U257">
        <f t="shared" si="67"/>
        <v>288.52215558299179</v>
      </c>
      <c r="V257">
        <f t="shared" si="68"/>
        <v>288.53142998925711</v>
      </c>
      <c r="W257">
        <f t="shared" si="81"/>
        <v>1.2235366962897842E-2</v>
      </c>
      <c r="X257">
        <f t="shared" si="82"/>
        <v>9.2744062653196124E-3</v>
      </c>
    </row>
    <row r="258" spans="2:24" x14ac:dyDescent="0.25">
      <c r="B258">
        <f t="shared" si="71"/>
        <v>243</v>
      </c>
      <c r="C258">
        <f t="shared" si="72"/>
        <v>288.74711633384118</v>
      </c>
      <c r="D258">
        <f t="shared" si="73"/>
        <v>0.1998911808526348</v>
      </c>
      <c r="F258">
        <f t="shared" si="69"/>
        <v>243</v>
      </c>
      <c r="G258">
        <f t="shared" si="70"/>
        <v>288.72419971706853</v>
      </c>
      <c r="H258">
        <f t="shared" si="63"/>
        <v>0.20029225237811205</v>
      </c>
      <c r="I258">
        <f t="shared" si="64"/>
        <v>288.92449196944665</v>
      </c>
      <c r="J258">
        <f t="shared" si="65"/>
        <v>0.19678603008296727</v>
      </c>
      <c r="L258">
        <f t="shared" si="74"/>
        <v>243</v>
      </c>
      <c r="M258">
        <f t="shared" si="75"/>
        <v>288.73332378444309</v>
      </c>
      <c r="N258">
        <f t="shared" si="76"/>
        <v>0.20013257193710585</v>
      </c>
      <c r="O258">
        <f t="shared" si="77"/>
        <v>0.19838105219562663</v>
      </c>
      <c r="P258">
        <f t="shared" si="78"/>
        <v>0.19839638319382549</v>
      </c>
      <c r="Q258">
        <f t="shared" si="79"/>
        <v>0.19665946120708044</v>
      </c>
      <c r="S258">
        <f t="shared" si="80"/>
        <v>243</v>
      </c>
      <c r="T258">
        <f t="shared" si="66"/>
        <v>288.74711633384118</v>
      </c>
      <c r="U258">
        <f t="shared" si="67"/>
        <v>288.72419971706853</v>
      </c>
      <c r="V258">
        <f t="shared" si="68"/>
        <v>288.73332378444309</v>
      </c>
      <c r="W258">
        <f t="shared" si="81"/>
        <v>1.3792549398090159E-2</v>
      </c>
      <c r="X258">
        <f t="shared" si="82"/>
        <v>9.1240673745573986E-3</v>
      </c>
    </row>
    <row r="259" spans="2:24" x14ac:dyDescent="0.25">
      <c r="B259">
        <f t="shared" si="71"/>
        <v>244</v>
      </c>
      <c r="C259">
        <f t="shared" si="72"/>
        <v>288.94700751469384</v>
      </c>
      <c r="D259">
        <f t="shared" si="73"/>
        <v>0.19639176502306541</v>
      </c>
      <c r="F259">
        <f t="shared" si="69"/>
        <v>244</v>
      </c>
      <c r="G259">
        <f t="shared" si="70"/>
        <v>288.92273885829906</v>
      </c>
      <c r="H259">
        <f t="shared" si="63"/>
        <v>0.19681672744547665</v>
      </c>
      <c r="I259">
        <f t="shared" si="64"/>
        <v>289.11955558574454</v>
      </c>
      <c r="J259">
        <f t="shared" si="65"/>
        <v>0.19336951696655177</v>
      </c>
      <c r="L259">
        <f t="shared" si="74"/>
        <v>244</v>
      </c>
      <c r="M259">
        <f t="shared" si="75"/>
        <v>288.93171493509692</v>
      </c>
      <c r="N259">
        <f t="shared" si="76"/>
        <v>0.19665955283201272</v>
      </c>
      <c r="O259">
        <f t="shared" si="77"/>
        <v>0.19493751092303926</v>
      </c>
      <c r="P259">
        <f t="shared" si="78"/>
        <v>0.19495259189850908</v>
      </c>
      <c r="Q259">
        <f t="shared" si="79"/>
        <v>0.19324491833826463</v>
      </c>
      <c r="S259">
        <f t="shared" si="80"/>
        <v>244</v>
      </c>
      <c r="T259">
        <f t="shared" si="66"/>
        <v>288.94700751469384</v>
      </c>
      <c r="U259">
        <f t="shared" si="67"/>
        <v>288.92273885829906</v>
      </c>
      <c r="V259">
        <f t="shared" si="68"/>
        <v>288.93171493509692</v>
      </c>
      <c r="W259">
        <f t="shared" si="81"/>
        <v>1.5292579596916767E-2</v>
      </c>
      <c r="X259">
        <f t="shared" si="82"/>
        <v>8.9760767978646072E-3</v>
      </c>
    </row>
    <row r="260" spans="2:24" x14ac:dyDescent="0.25">
      <c r="B260">
        <f t="shared" si="71"/>
        <v>245</v>
      </c>
      <c r="C260">
        <f t="shared" si="72"/>
        <v>289.1433992797169</v>
      </c>
      <c r="D260">
        <f t="shared" si="73"/>
        <v>0.19295177469496239</v>
      </c>
      <c r="F260">
        <f t="shared" si="69"/>
        <v>245</v>
      </c>
      <c r="G260">
        <f t="shared" si="70"/>
        <v>289.11783198050506</v>
      </c>
      <c r="H260">
        <f t="shared" si="63"/>
        <v>0.19339971354522195</v>
      </c>
      <c r="I260">
        <f t="shared" si="64"/>
        <v>289.31123169405026</v>
      </c>
      <c r="J260">
        <f t="shared" si="65"/>
        <v>0.19001058682117147</v>
      </c>
      <c r="L260">
        <f t="shared" si="74"/>
        <v>245</v>
      </c>
      <c r="M260">
        <f t="shared" si="75"/>
        <v>289.12666238123251</v>
      </c>
      <c r="N260">
        <f t="shared" si="76"/>
        <v>0.19324500849102588</v>
      </c>
      <c r="O260">
        <f t="shared" si="77"/>
        <v>0.19155198090846812</v>
      </c>
      <c r="P260">
        <f t="shared" si="78"/>
        <v>0.19156681550582685</v>
      </c>
      <c r="Q260">
        <f t="shared" si="79"/>
        <v>0.18988792987805153</v>
      </c>
      <c r="S260">
        <f t="shared" si="80"/>
        <v>245</v>
      </c>
      <c r="T260">
        <f t="shared" si="66"/>
        <v>289.1433992797169</v>
      </c>
      <c r="U260">
        <f t="shared" si="67"/>
        <v>289.11783198050506</v>
      </c>
      <c r="V260">
        <f t="shared" si="68"/>
        <v>289.12666238123251</v>
      </c>
      <c r="W260">
        <f t="shared" si="81"/>
        <v>1.6736898484396079E-2</v>
      </c>
      <c r="X260">
        <f t="shared" si="82"/>
        <v>8.8304007274473406E-3</v>
      </c>
    </row>
    <row r="261" spans="2:24" x14ac:dyDescent="0.25">
      <c r="B261">
        <f t="shared" si="71"/>
        <v>246</v>
      </c>
      <c r="C261">
        <f t="shared" si="72"/>
        <v>289.33635105441186</v>
      </c>
      <c r="D261">
        <f t="shared" si="73"/>
        <v>0.18957026701399371</v>
      </c>
      <c r="F261">
        <f t="shared" si="69"/>
        <v>246</v>
      </c>
      <c r="G261">
        <f t="shared" si="70"/>
        <v>289.30953713068828</v>
      </c>
      <c r="H261">
        <f t="shared" si="63"/>
        <v>0.19004028992265093</v>
      </c>
      <c r="I261">
        <f t="shared" si="64"/>
        <v>289.49957742061093</v>
      </c>
      <c r="J261">
        <f t="shared" si="65"/>
        <v>0.18670833110633031</v>
      </c>
      <c r="L261">
        <f t="shared" si="74"/>
        <v>246</v>
      </c>
      <c r="M261">
        <f t="shared" si="75"/>
        <v>289.31822413643209</v>
      </c>
      <c r="N261">
        <f t="shared" si="76"/>
        <v>0.18988801857934448</v>
      </c>
      <c r="O261">
        <f t="shared" si="77"/>
        <v>0.18822354791332654</v>
      </c>
      <c r="P261">
        <f t="shared" si="78"/>
        <v>0.18823813974003428</v>
      </c>
      <c r="Q261">
        <f t="shared" si="79"/>
        <v>0.18658758763031869</v>
      </c>
      <c r="S261">
        <f t="shared" si="80"/>
        <v>246</v>
      </c>
      <c r="T261">
        <f t="shared" si="66"/>
        <v>289.33635105441186</v>
      </c>
      <c r="U261">
        <f t="shared" si="67"/>
        <v>289.30953713068828</v>
      </c>
      <c r="V261">
        <f t="shared" si="68"/>
        <v>289.31822413643209</v>
      </c>
      <c r="W261">
        <f t="shared" si="81"/>
        <v>1.8126917979770951E-2</v>
      </c>
      <c r="X261">
        <f t="shared" si="82"/>
        <v>8.6870057438090953E-3</v>
      </c>
    </row>
    <row r="262" spans="2:24" x14ac:dyDescent="0.25">
      <c r="B262">
        <f t="shared" si="71"/>
        <v>247</v>
      </c>
      <c r="C262">
        <f t="shared" si="72"/>
        <v>289.52592132142587</v>
      </c>
      <c r="D262">
        <f t="shared" si="73"/>
        <v>0.18624631164224453</v>
      </c>
      <c r="F262">
        <f t="shared" si="69"/>
        <v>247</v>
      </c>
      <c r="G262">
        <f t="shared" si="70"/>
        <v>289.4979114412028</v>
      </c>
      <c r="H262">
        <f t="shared" si="63"/>
        <v>0.18673754796251243</v>
      </c>
      <c r="I262">
        <f t="shared" si="64"/>
        <v>289.68464898916534</v>
      </c>
      <c r="J262">
        <f t="shared" si="65"/>
        <v>0.18346185335227375</v>
      </c>
      <c r="L262">
        <f t="shared" si="74"/>
        <v>247</v>
      </c>
      <c r="M262">
        <f t="shared" si="75"/>
        <v>289.50645730001816</v>
      </c>
      <c r="N262">
        <f t="shared" si="76"/>
        <v>0.18658767490065678</v>
      </c>
      <c r="O262">
        <f t="shared" si="77"/>
        <v>0.1849513098034245</v>
      </c>
      <c r="P262">
        <f t="shared" si="78"/>
        <v>0.18496566242953083</v>
      </c>
      <c r="Q262">
        <f t="shared" si="79"/>
        <v>0.18334299546802066</v>
      </c>
      <c r="S262">
        <f t="shared" si="80"/>
        <v>247</v>
      </c>
      <c r="T262">
        <f t="shared" si="66"/>
        <v>289.52592132142587</v>
      </c>
      <c r="U262">
        <f t="shared" si="67"/>
        <v>289.4979114412028</v>
      </c>
      <c r="V262">
        <f t="shared" si="68"/>
        <v>289.50645730001816</v>
      </c>
      <c r="W262">
        <f t="shared" si="81"/>
        <v>1.9464021407713972E-2</v>
      </c>
      <c r="X262">
        <f t="shared" si="82"/>
        <v>8.5458588153528581E-3</v>
      </c>
    </row>
    <row r="263" spans="2:24" x14ac:dyDescent="0.25">
      <c r="B263">
        <f t="shared" si="71"/>
        <v>248</v>
      </c>
      <c r="C263">
        <f t="shared" si="72"/>
        <v>289.71216763306813</v>
      </c>
      <c r="D263">
        <f t="shared" si="73"/>
        <v>0.18297899068726806</v>
      </c>
      <c r="F263">
        <f t="shared" si="69"/>
        <v>248</v>
      </c>
      <c r="G263">
        <f t="shared" si="70"/>
        <v>289.68301114186022</v>
      </c>
      <c r="H263">
        <f t="shared" si="63"/>
        <v>0.18349059111975707</v>
      </c>
      <c r="I263">
        <f t="shared" si="64"/>
        <v>289.86650173298</v>
      </c>
      <c r="J263">
        <f t="shared" si="65"/>
        <v>0.18027026908693017</v>
      </c>
      <c r="L263">
        <f t="shared" si="74"/>
        <v>248</v>
      </c>
      <c r="M263">
        <f t="shared" si="75"/>
        <v>289.69141806915724</v>
      </c>
      <c r="N263">
        <f t="shared" si="76"/>
        <v>0.18334308132773838</v>
      </c>
      <c r="O263">
        <f t="shared" si="77"/>
        <v>0.18173437647765067</v>
      </c>
      <c r="P263">
        <f t="shared" si="78"/>
        <v>0.18174849343555272</v>
      </c>
      <c r="Q263">
        <f t="shared" si="79"/>
        <v>0.18015326926007269</v>
      </c>
      <c r="S263">
        <f t="shared" si="80"/>
        <v>248</v>
      </c>
      <c r="T263">
        <f t="shared" si="66"/>
        <v>289.71216763306813</v>
      </c>
      <c r="U263">
        <f t="shared" si="67"/>
        <v>289.68301114186022</v>
      </c>
      <c r="V263">
        <f t="shared" si="68"/>
        <v>289.69141806915724</v>
      </c>
      <c r="W263">
        <f t="shared" si="81"/>
        <v>2.0749563910896995E-2</v>
      </c>
      <c r="X263">
        <f t="shared" si="82"/>
        <v>8.406927297016864E-3</v>
      </c>
    </row>
    <row r="264" spans="2:24" x14ac:dyDescent="0.25">
      <c r="B264">
        <f t="shared" si="71"/>
        <v>249</v>
      </c>
      <c r="C264">
        <f t="shared" si="72"/>
        <v>289.89514662375541</v>
      </c>
      <c r="D264">
        <f t="shared" si="73"/>
        <v>0.17976739862715541</v>
      </c>
      <c r="F264">
        <f t="shared" si="69"/>
        <v>249</v>
      </c>
      <c r="G264">
        <f t="shared" si="70"/>
        <v>289.86489157196354</v>
      </c>
      <c r="H264">
        <f t="shared" si="63"/>
        <v>0.18029853484658004</v>
      </c>
      <c r="I264">
        <f t="shared" si="64"/>
        <v>290.04519010681014</v>
      </c>
      <c r="J264">
        <f t="shared" si="65"/>
        <v>0.17713270575937418</v>
      </c>
      <c r="L264">
        <f t="shared" si="74"/>
        <v>249</v>
      </c>
      <c r="M264">
        <f t="shared" si="75"/>
        <v>289.87316175089296</v>
      </c>
      <c r="N264">
        <f t="shared" si="76"/>
        <v>0.18015335372930974</v>
      </c>
      <c r="O264">
        <f t="shared" si="77"/>
        <v>0.17857186979305167</v>
      </c>
      <c r="P264">
        <f t="shared" si="78"/>
        <v>0.17858575457729453</v>
      </c>
      <c r="Q264">
        <f t="shared" si="79"/>
        <v>0.1770175367946884</v>
      </c>
      <c r="S264">
        <f t="shared" si="80"/>
        <v>249</v>
      </c>
      <c r="T264">
        <f t="shared" si="66"/>
        <v>289.89514662375541</v>
      </c>
      <c r="U264">
        <f t="shared" si="67"/>
        <v>289.86489157196354</v>
      </c>
      <c r="V264">
        <f t="shared" si="68"/>
        <v>289.87316175089296</v>
      </c>
      <c r="W264">
        <f t="shared" si="81"/>
        <v>2.1984872862446991E-2</v>
      </c>
      <c r="X264">
        <f t="shared" si="82"/>
        <v>8.2701789294219452E-3</v>
      </c>
    </row>
    <row r="265" spans="2:24" x14ac:dyDescent="0.25">
      <c r="B265">
        <f t="shared" si="71"/>
        <v>250</v>
      </c>
      <c r="C265">
        <f t="shared" si="72"/>
        <v>290.07491402238259</v>
      </c>
      <c r="D265">
        <f t="shared" si="73"/>
        <v>0.17661064223187836</v>
      </c>
      <c r="F265">
        <f t="shared" si="69"/>
        <v>250</v>
      </c>
      <c r="G265">
        <f t="shared" si="70"/>
        <v>290.04360719226651</v>
      </c>
      <c r="H265">
        <f t="shared" si="63"/>
        <v>0.17716050651593268</v>
      </c>
      <c r="I265">
        <f t="shared" si="64"/>
        <v>290.22076769878242</v>
      </c>
      <c r="J265">
        <f t="shared" si="65"/>
        <v>0.17404830266000579</v>
      </c>
      <c r="L265">
        <f t="shared" si="74"/>
        <v>250</v>
      </c>
      <c r="M265">
        <f t="shared" si="75"/>
        <v>290.05174277410373</v>
      </c>
      <c r="N265">
        <f t="shared" si="76"/>
        <v>0.17701761989339712</v>
      </c>
      <c r="O265">
        <f t="shared" si="77"/>
        <v>0.17546292348649334</v>
      </c>
      <c r="P265">
        <f t="shared" si="78"/>
        <v>0.17547657955360732</v>
      </c>
      <c r="Q265">
        <f t="shared" si="79"/>
        <v>0.17393493769948043</v>
      </c>
      <c r="S265">
        <f t="shared" si="80"/>
        <v>250</v>
      </c>
      <c r="T265">
        <f t="shared" si="66"/>
        <v>290.07491402238259</v>
      </c>
      <c r="U265">
        <f t="shared" si="67"/>
        <v>290.04360719226651</v>
      </c>
      <c r="V265">
        <f t="shared" si="68"/>
        <v>290.05174277410373</v>
      </c>
      <c r="W265">
        <f t="shared" si="81"/>
        <v>2.3171248278856638E-2</v>
      </c>
      <c r="X265">
        <f t="shared" si="82"/>
        <v>8.1355818372230715E-3</v>
      </c>
    </row>
    <row r="266" spans="2:24" x14ac:dyDescent="0.25">
      <c r="B266">
        <f t="shared" si="71"/>
        <v>251</v>
      </c>
      <c r="C266">
        <f t="shared" si="72"/>
        <v>290.25152466461446</v>
      </c>
      <c r="D266">
        <f t="shared" si="73"/>
        <v>0.17350784048117082</v>
      </c>
      <c r="F266">
        <f t="shared" si="69"/>
        <v>251</v>
      </c>
      <c r="G266">
        <f t="shared" si="70"/>
        <v>290.21921159685445</v>
      </c>
      <c r="H266">
        <f t="shared" si="63"/>
        <v>0.17407564534176728</v>
      </c>
      <c r="I266">
        <f t="shared" si="64"/>
        <v>290.39328724219621</v>
      </c>
      <c r="J266">
        <f t="shared" si="65"/>
        <v>0.1710162108376464</v>
      </c>
      <c r="L266">
        <f t="shared" si="74"/>
        <v>251</v>
      </c>
      <c r="M266">
        <f t="shared" si="75"/>
        <v>290.22721470138259</v>
      </c>
      <c r="N266">
        <f t="shared" si="76"/>
        <v>0.17393501944742087</v>
      </c>
      <c r="O266">
        <f t="shared" si="77"/>
        <v>0.17240668309318152</v>
      </c>
      <c r="P266">
        <f t="shared" si="78"/>
        <v>0.17242011386154174</v>
      </c>
      <c r="Q266">
        <f t="shared" si="79"/>
        <v>0.17090462335846665</v>
      </c>
      <c r="S266">
        <f t="shared" si="80"/>
        <v>251</v>
      </c>
      <c r="T266">
        <f t="shared" si="66"/>
        <v>290.25152466461446</v>
      </c>
      <c r="U266">
        <f t="shared" si="67"/>
        <v>290.21921159685445</v>
      </c>
      <c r="V266">
        <f t="shared" si="68"/>
        <v>290.22721470138259</v>
      </c>
      <c r="W266">
        <f t="shared" si="81"/>
        <v>2.4309963231871734E-2</v>
      </c>
      <c r="X266">
        <f t="shared" si="82"/>
        <v>8.0031045281430124E-3</v>
      </c>
    </row>
    <row r="267" spans="2:24" x14ac:dyDescent="0.25">
      <c r="B267">
        <f t="shared" si="71"/>
        <v>252</v>
      </c>
      <c r="C267">
        <f t="shared" si="72"/>
        <v>290.42503250509566</v>
      </c>
      <c r="D267">
        <f t="shared" si="73"/>
        <v>0.17045812447911038</v>
      </c>
      <c r="F267">
        <f t="shared" si="69"/>
        <v>252</v>
      </c>
      <c r="G267">
        <f t="shared" si="70"/>
        <v>290.39175752494418</v>
      </c>
      <c r="H267">
        <f t="shared" si="63"/>
        <v>0.17104310229619041</v>
      </c>
      <c r="I267">
        <f t="shared" si="64"/>
        <v>290.56280062724039</v>
      </c>
      <c r="J267">
        <f t="shared" si="65"/>
        <v>0.16803559301377613</v>
      </c>
      <c r="L267">
        <f t="shared" si="74"/>
        <v>252</v>
      </c>
      <c r="M267">
        <f t="shared" si="75"/>
        <v>290.39963024083517</v>
      </c>
      <c r="N267">
        <f t="shared" si="76"/>
        <v>0.17090470377520023</v>
      </c>
      <c r="O267">
        <f t="shared" si="77"/>
        <v>0.16940230586220997</v>
      </c>
      <c r="P267">
        <f t="shared" si="78"/>
        <v>0.16941551471192226</v>
      </c>
      <c r="Q267">
        <f t="shared" si="79"/>
        <v>0.1679257568262276</v>
      </c>
      <c r="S267">
        <f t="shared" si="80"/>
        <v>252</v>
      </c>
      <c r="T267">
        <f t="shared" si="66"/>
        <v>290.42503250509566</v>
      </c>
      <c r="U267">
        <f t="shared" si="67"/>
        <v>290.39175752494418</v>
      </c>
      <c r="V267">
        <f t="shared" si="68"/>
        <v>290.39963024083517</v>
      </c>
      <c r="W267">
        <f t="shared" si="81"/>
        <v>2.5402264260492302E-2</v>
      </c>
      <c r="X267">
        <f t="shared" si="82"/>
        <v>7.8727158909828177E-3</v>
      </c>
    </row>
    <row r="268" spans="2:24" x14ac:dyDescent="0.25">
      <c r="B268">
        <f t="shared" si="71"/>
        <v>253</v>
      </c>
      <c r="C268">
        <f t="shared" si="72"/>
        <v>290.59549062957478</v>
      </c>
      <c r="D268">
        <f t="shared" si="73"/>
        <v>0.16746063736567296</v>
      </c>
      <c r="F268">
        <f t="shared" si="69"/>
        <v>253</v>
      </c>
      <c r="G268">
        <f t="shared" si="70"/>
        <v>290.56129687259914</v>
      </c>
      <c r="H268">
        <f t="shared" si="63"/>
        <v>0.16806204002376807</v>
      </c>
      <c r="I268">
        <f t="shared" si="64"/>
        <v>290.7293589126229</v>
      </c>
      <c r="J268">
        <f t="shared" si="65"/>
        <v>0.16510562349409225</v>
      </c>
      <c r="L268">
        <f t="shared" si="74"/>
        <v>253</v>
      </c>
      <c r="M268">
        <f t="shared" si="75"/>
        <v>290.56904125779346</v>
      </c>
      <c r="N268">
        <f t="shared" si="76"/>
        <v>0.16792583593112323</v>
      </c>
      <c r="O268">
        <f t="shared" si="77"/>
        <v>0.16644896066933368</v>
      </c>
      <c r="P268">
        <f t="shared" si="78"/>
        <v>0.16646195094216415</v>
      </c>
      <c r="Q268">
        <f t="shared" si="79"/>
        <v>0.16499751273939703</v>
      </c>
      <c r="S268">
        <f t="shared" si="80"/>
        <v>253</v>
      </c>
      <c r="T268">
        <f t="shared" si="66"/>
        <v>290.59549062957478</v>
      </c>
      <c r="U268">
        <f t="shared" si="67"/>
        <v>290.56129687259914</v>
      </c>
      <c r="V268">
        <f t="shared" si="68"/>
        <v>290.56904125779346</v>
      </c>
      <c r="W268">
        <f t="shared" si="81"/>
        <v>2.6449371781325226E-2</v>
      </c>
      <c r="X268">
        <f t="shared" si="82"/>
        <v>7.7443851943144182E-3</v>
      </c>
    </row>
    <row r="269" spans="2:24" x14ac:dyDescent="0.25">
      <c r="B269">
        <f t="shared" si="71"/>
        <v>254</v>
      </c>
      <c r="C269">
        <f t="shared" si="72"/>
        <v>290.76295126694043</v>
      </c>
      <c r="D269">
        <f t="shared" si="73"/>
        <v>0.16451453422545276</v>
      </c>
      <c r="F269">
        <f t="shared" si="69"/>
        <v>254</v>
      </c>
      <c r="G269">
        <f t="shared" si="70"/>
        <v>290.72788070435809</v>
      </c>
      <c r="H269">
        <f t="shared" si="63"/>
        <v>0.16513163275312595</v>
      </c>
      <c r="I269">
        <f t="shared" si="64"/>
        <v>290.8930123371112</v>
      </c>
      <c r="J269">
        <f t="shared" si="65"/>
        <v>0.16222548807757675</v>
      </c>
      <c r="L269">
        <f t="shared" si="74"/>
        <v>254</v>
      </c>
      <c r="M269">
        <f t="shared" si="75"/>
        <v>290.73549878644235</v>
      </c>
      <c r="N269">
        <f t="shared" si="76"/>
        <v>0.16499759055162602</v>
      </c>
      <c r="O269">
        <f t="shared" si="77"/>
        <v>0.16354582792718536</v>
      </c>
      <c r="P269">
        <f t="shared" si="78"/>
        <v>0.16355860292649604</v>
      </c>
      <c r="Q269">
        <f t="shared" si="79"/>
        <v>0.16211907722565444</v>
      </c>
      <c r="S269">
        <f t="shared" si="80"/>
        <v>254</v>
      </c>
      <c r="T269">
        <f t="shared" si="66"/>
        <v>290.76295126694043</v>
      </c>
      <c r="U269">
        <f t="shared" si="67"/>
        <v>290.72788070435809</v>
      </c>
      <c r="V269">
        <f t="shared" si="68"/>
        <v>290.73549878644235</v>
      </c>
      <c r="W269">
        <f t="shared" si="81"/>
        <v>2.7452480498084242E-2</v>
      </c>
      <c r="X269">
        <f t="shared" si="82"/>
        <v>7.6180820842637331E-3</v>
      </c>
    </row>
    <row r="270" spans="2:24" x14ac:dyDescent="0.25">
      <c r="B270">
        <f t="shared" si="71"/>
        <v>255</v>
      </c>
      <c r="C270">
        <f t="shared" si="72"/>
        <v>290.92746580116591</v>
      </c>
      <c r="D270">
        <f t="shared" si="73"/>
        <v>0.16161898199371263</v>
      </c>
      <c r="F270">
        <f t="shared" si="69"/>
        <v>255</v>
      </c>
      <c r="G270">
        <f t="shared" si="70"/>
        <v>290.89155926477343</v>
      </c>
      <c r="H270">
        <f t="shared" si="63"/>
        <v>0.16225106620607593</v>
      </c>
      <c r="I270">
        <f t="shared" si="64"/>
        <v>291.0538103309795</v>
      </c>
      <c r="J270">
        <f t="shared" si="65"/>
        <v>0.15939438396326019</v>
      </c>
      <c r="L270">
        <f t="shared" si="74"/>
        <v>255</v>
      </c>
      <c r="M270">
        <f t="shared" si="75"/>
        <v>290.89905304135647</v>
      </c>
      <c r="N270">
        <f t="shared" si="76"/>
        <v>0.16211915376418495</v>
      </c>
      <c r="O270">
        <f t="shared" si="77"/>
        <v>0.16069209949308158</v>
      </c>
      <c r="P270">
        <f t="shared" si="78"/>
        <v>0.16070466248380619</v>
      </c>
      <c r="Q270">
        <f t="shared" si="79"/>
        <v>0.15928964781042473</v>
      </c>
      <c r="S270">
        <f t="shared" si="80"/>
        <v>255</v>
      </c>
      <c r="T270">
        <f t="shared" si="66"/>
        <v>290.92746580116591</v>
      </c>
      <c r="U270">
        <f t="shared" si="67"/>
        <v>290.89155926477343</v>
      </c>
      <c r="V270">
        <f t="shared" si="68"/>
        <v>290.89905304135647</v>
      </c>
      <c r="W270">
        <f t="shared" si="81"/>
        <v>2.8412759809441468E-2</v>
      </c>
      <c r="X270">
        <f t="shared" si="82"/>
        <v>7.4937765830327407E-3</v>
      </c>
    </row>
    <row r="271" spans="2:24" x14ac:dyDescent="0.25">
      <c r="B271">
        <f t="shared" si="71"/>
        <v>256</v>
      </c>
      <c r="C271">
        <f t="shared" si="72"/>
        <v>291.08908478315965</v>
      </c>
      <c r="D271">
        <f t="shared" si="73"/>
        <v>0.15877315936002184</v>
      </c>
      <c r="F271">
        <f t="shared" si="69"/>
        <v>256</v>
      </c>
      <c r="G271">
        <f t="shared" si="70"/>
        <v>291.05238198985808</v>
      </c>
      <c r="H271">
        <f t="shared" ref="H271:H334" si="83">0.3*(G271^(3/4))*(1-(G271/300)^(1/4))</f>
        <v>0.15941953750443841</v>
      </c>
      <c r="I271">
        <f t="shared" ref="I271:I334" si="84">G271+$C$10*H271</f>
        <v>291.21180152736252</v>
      </c>
      <c r="J271">
        <f t="shared" ref="J271:J334" si="85">0.3*(I271^(3/4))*(1-(I271/300)^(1/4))</f>
        <v>0.15661151965485309</v>
      </c>
      <c r="L271">
        <f t="shared" si="74"/>
        <v>256</v>
      </c>
      <c r="M271">
        <f t="shared" si="75"/>
        <v>291.05975342894453</v>
      </c>
      <c r="N271">
        <f t="shared" si="76"/>
        <v>0.1592897230940313</v>
      </c>
      <c r="O271">
        <f t="shared" si="77"/>
        <v>0.15788697857463274</v>
      </c>
      <c r="P271">
        <f t="shared" si="78"/>
        <v>0.15789933278326465</v>
      </c>
      <c r="Q271">
        <f t="shared" si="79"/>
        <v>0.15650843332144798</v>
      </c>
      <c r="S271">
        <f t="shared" si="80"/>
        <v>256</v>
      </c>
      <c r="T271">
        <f t="shared" ref="T271:T334" si="86">C271</f>
        <v>291.08908478315965</v>
      </c>
      <c r="U271">
        <f t="shared" ref="U271:U334" si="87">G271</f>
        <v>291.05238198985808</v>
      </c>
      <c r="V271">
        <f t="shared" ref="V271:V334" si="88">M271</f>
        <v>291.05975342894453</v>
      </c>
      <c r="W271">
        <f t="shared" si="81"/>
        <v>2.9331354215116789E-2</v>
      </c>
      <c r="X271">
        <f t="shared" si="82"/>
        <v>7.3714390864552115E-3</v>
      </c>
    </row>
    <row r="272" spans="2:24" x14ac:dyDescent="0.25">
      <c r="B272">
        <f t="shared" si="71"/>
        <v>257</v>
      </c>
      <c r="C272">
        <f t="shared" si="72"/>
        <v>291.24785794251966</v>
      </c>
      <c r="D272">
        <f t="shared" si="73"/>
        <v>0.15597625666957798</v>
      </c>
      <c r="F272">
        <f t="shared" ref="F272:F335" si="89">F271+$C$10</f>
        <v>257</v>
      </c>
      <c r="G272">
        <f t="shared" ref="G272:G335" si="90">G271+$C$10/2*(H271+J271)</f>
        <v>291.21039751843773</v>
      </c>
      <c r="H272">
        <f t="shared" si="83"/>
        <v>0.15663625507470097</v>
      </c>
      <c r="I272">
        <f t="shared" si="84"/>
        <v>291.36703377351245</v>
      </c>
      <c r="J272">
        <f t="shared" si="85"/>
        <v>0.15387611486339509</v>
      </c>
      <c r="L272">
        <f t="shared" si="74"/>
        <v>257</v>
      </c>
      <c r="M272">
        <f t="shared" si="75"/>
        <v>291.21764855879974</v>
      </c>
      <c r="N272">
        <f t="shared" si="76"/>
        <v>0.15650850736869643</v>
      </c>
      <c r="O272">
        <f t="shared" si="77"/>
        <v>0.15512967963327712</v>
      </c>
      <c r="P272">
        <f t="shared" si="78"/>
        <v>0.1551418282478971</v>
      </c>
      <c r="Q272">
        <f t="shared" si="79"/>
        <v>0.15377465379136945</v>
      </c>
      <c r="S272">
        <f t="shared" si="80"/>
        <v>257</v>
      </c>
      <c r="T272">
        <f t="shared" si="86"/>
        <v>291.24785794251966</v>
      </c>
      <c r="U272">
        <f t="shared" si="87"/>
        <v>291.21039751843773</v>
      </c>
      <c r="V272">
        <f t="shared" si="88"/>
        <v>291.21764855879974</v>
      </c>
      <c r="W272">
        <f t="shared" si="81"/>
        <v>3.0209383719920879E-2</v>
      </c>
      <c r="X272">
        <f t="shared" si="82"/>
        <v>7.2510403620071884E-3</v>
      </c>
    </row>
    <row r="273" spans="2:24" x14ac:dyDescent="0.25">
      <c r="B273">
        <f t="shared" ref="B273:B336" si="91">B272+$C$10</f>
        <v>258</v>
      </c>
      <c r="C273">
        <f t="shared" ref="C273:C336" si="92">C272+$C$10*D272</f>
        <v>291.40383419918925</v>
      </c>
      <c r="D273">
        <f t="shared" ref="D273:D336" si="93">0.3*(C273^(3/4))*(1-(C273/300)^(1/4))</f>
        <v>0.1532274758224785</v>
      </c>
      <c r="F273">
        <f t="shared" si="89"/>
        <v>258</v>
      </c>
      <c r="G273">
        <f t="shared" si="90"/>
        <v>291.36565370340679</v>
      </c>
      <c r="H273">
        <f t="shared" si="83"/>
        <v>0.15390043855072971</v>
      </c>
      <c r="I273">
        <f t="shared" si="84"/>
        <v>291.51955414195754</v>
      </c>
      <c r="J273">
        <f t="shared" si="85"/>
        <v>0.15118740040808876</v>
      </c>
      <c r="L273">
        <f t="shared" ref="L273:L336" si="94">L272+$C$10</f>
        <v>258</v>
      </c>
      <c r="M273">
        <f t="shared" ref="M273:M336" si="95">M272 + (1/6)*(N272+2*O272+2*P272+Q272)</f>
        <v>291.3727862549535</v>
      </c>
      <c r="N273">
        <f t="shared" ref="N273:N336" si="96">$C$10*0.3*(M273^(3/4))*(1-(M273/300)^(1/4))</f>
        <v>0.15377472662062699</v>
      </c>
      <c r="O273">
        <f t="shared" ref="O273:O336" si="97">$C$10*0.3*((M273+N273/2)^(3/4))*(1-((M273+N273/2)/300)^(1/4))</f>
        <v>0.15241942828595337</v>
      </c>
      <c r="P273">
        <f t="shared" ref="P273:P336" si="98">$C$10*0.3*((M273+O273/2)^(3/4))*(1-((M273+O273/2)/300)^(1/4))</f>
        <v>0.15243137445625829</v>
      </c>
      <c r="Q273">
        <f t="shared" ref="Q273:Q336" si="99">$C$10*0.3*((M273+P273)^(3/4))*(1-((M273+P273)/300)^(1/4))</f>
        <v>0.15108754035852451</v>
      </c>
      <c r="S273">
        <f t="shared" si="80"/>
        <v>258</v>
      </c>
      <c r="T273">
        <f t="shared" si="86"/>
        <v>291.40383419918925</v>
      </c>
      <c r="U273">
        <f t="shared" si="87"/>
        <v>291.36565370340679</v>
      </c>
      <c r="V273">
        <f t="shared" si="88"/>
        <v>291.3727862549535</v>
      </c>
      <c r="W273">
        <f t="shared" si="81"/>
        <v>3.1047944235751856E-2</v>
      </c>
      <c r="X273">
        <f t="shared" si="82"/>
        <v>7.1325515467037803E-3</v>
      </c>
    </row>
    <row r="274" spans="2:24" x14ac:dyDescent="0.25">
      <c r="B274">
        <f t="shared" si="91"/>
        <v>259</v>
      </c>
      <c r="C274">
        <f t="shared" si="92"/>
        <v>291.55706167501171</v>
      </c>
      <c r="D274">
        <f t="shared" si="93"/>
        <v>0.15052603017103891</v>
      </c>
      <c r="F274">
        <f t="shared" si="89"/>
        <v>259</v>
      </c>
      <c r="G274">
        <f t="shared" si="90"/>
        <v>291.51819762288619</v>
      </c>
      <c r="H274">
        <f t="shared" si="83"/>
        <v>0.15121131867463902</v>
      </c>
      <c r="I274">
        <f t="shared" si="84"/>
        <v>291.66940894156085</v>
      </c>
      <c r="J274">
        <f t="shared" si="85"/>
        <v>0.14854461811548023</v>
      </c>
      <c r="L274">
        <f t="shared" si="94"/>
        <v>259</v>
      </c>
      <c r="M274">
        <f t="shared" si="95"/>
        <v>291.52521356703073</v>
      </c>
      <c r="N274">
        <f t="shared" si="96"/>
        <v>0.15108761198796178</v>
      </c>
      <c r="O274">
        <f t="shared" si="97"/>
        <v>0.14975546120502764</v>
      </c>
      <c r="P274">
        <f t="shared" si="98"/>
        <v>0.14976720804239069</v>
      </c>
      <c r="Q274">
        <f t="shared" si="99"/>
        <v>0.14844633516607056</v>
      </c>
      <c r="S274">
        <f t="shared" si="80"/>
        <v>259</v>
      </c>
      <c r="T274">
        <f t="shared" si="86"/>
        <v>291.55706167501171</v>
      </c>
      <c r="U274">
        <f t="shared" si="87"/>
        <v>291.51819762288619</v>
      </c>
      <c r="V274">
        <f t="shared" si="88"/>
        <v>291.52521356703073</v>
      </c>
      <c r="W274">
        <f t="shared" si="81"/>
        <v>3.1848107980977147E-2</v>
      </c>
      <c r="X274">
        <f t="shared" si="82"/>
        <v>7.0159441445412085E-3</v>
      </c>
    </row>
    <row r="275" spans="2:24" x14ac:dyDescent="0.25">
      <c r="B275">
        <f t="shared" si="91"/>
        <v>260</v>
      </c>
      <c r="C275">
        <f t="shared" si="92"/>
        <v>291.70758770518273</v>
      </c>
      <c r="D275">
        <f t="shared" si="93"/>
        <v>0.14787114441533863</v>
      </c>
      <c r="F275">
        <f t="shared" si="89"/>
        <v>260</v>
      </c>
      <c r="G275">
        <f t="shared" si="90"/>
        <v>291.66807559128125</v>
      </c>
      <c r="H275">
        <f t="shared" si="83"/>
        <v>0.14856813719601203</v>
      </c>
      <c r="I275">
        <f t="shared" si="84"/>
        <v>291.81664372847729</v>
      </c>
      <c r="J275">
        <f t="shared" si="85"/>
        <v>0.14594702071709786</v>
      </c>
      <c r="L275">
        <f t="shared" si="94"/>
        <v>260</v>
      </c>
      <c r="M275">
        <f t="shared" si="95"/>
        <v>291.67497678130553</v>
      </c>
      <c r="N275">
        <f t="shared" si="96"/>
        <v>0.14844640561364292</v>
      </c>
      <c r="O275">
        <f t="shared" si="97"/>
        <v>0.14713702601661002</v>
      </c>
      <c r="P275">
        <f t="shared" si="98"/>
        <v>0.14714857659416442</v>
      </c>
      <c r="Q275">
        <f t="shared" si="99"/>
        <v>0.14585029125957352</v>
      </c>
      <c r="S275">
        <f t="shared" si="80"/>
        <v>260</v>
      </c>
      <c r="T275">
        <f t="shared" si="86"/>
        <v>291.70758770518273</v>
      </c>
      <c r="U275">
        <f t="shared" si="87"/>
        <v>291.66807559128125</v>
      </c>
      <c r="V275">
        <f t="shared" si="88"/>
        <v>291.67497678130553</v>
      </c>
      <c r="W275">
        <f t="shared" si="81"/>
        <v>3.2610923877200548E-2</v>
      </c>
      <c r="X275">
        <f t="shared" si="82"/>
        <v>6.9011900242799129E-3</v>
      </c>
    </row>
    <row r="276" spans="2:24" x14ac:dyDescent="0.25">
      <c r="B276">
        <f t="shared" si="91"/>
        <v>261</v>
      </c>
      <c r="C276">
        <f t="shared" si="92"/>
        <v>291.85545884959805</v>
      </c>
      <c r="D276">
        <f t="shared" si="93"/>
        <v>0.1452620544971798</v>
      </c>
      <c r="F276">
        <f t="shared" si="89"/>
        <v>261</v>
      </c>
      <c r="G276">
        <f t="shared" si="90"/>
        <v>291.81533317023781</v>
      </c>
      <c r="H276">
        <f t="shared" si="83"/>
        <v>0.14597014676958583</v>
      </c>
      <c r="I276">
        <f t="shared" si="84"/>
        <v>291.96130331700738</v>
      </c>
      <c r="J276">
        <f t="shared" si="85"/>
        <v>0.14339387174573678</v>
      </c>
      <c r="L276">
        <f t="shared" si="94"/>
        <v>261</v>
      </c>
      <c r="M276">
        <f t="shared" si="95"/>
        <v>291.82212143165464</v>
      </c>
      <c r="N276">
        <f t="shared" si="96"/>
        <v>0.1458503605430409</v>
      </c>
      <c r="O276">
        <f t="shared" si="97"/>
        <v>0.14456338119747472</v>
      </c>
      <c r="P276">
        <f t="shared" si="98"/>
        <v>0.14457473855020486</v>
      </c>
      <c r="Q276">
        <f t="shared" si="99"/>
        <v>0.14329867248325578</v>
      </c>
      <c r="S276">
        <f t="shared" si="80"/>
        <v>261</v>
      </c>
      <c r="T276">
        <f t="shared" si="86"/>
        <v>291.85545884959805</v>
      </c>
      <c r="U276">
        <f t="shared" si="87"/>
        <v>291.81533317023781</v>
      </c>
      <c r="V276">
        <f t="shared" si="88"/>
        <v>291.82212143165464</v>
      </c>
      <c r="W276">
        <f t="shared" si="81"/>
        <v>3.3337417943414493E-2</v>
      </c>
      <c r="X276">
        <f t="shared" si="82"/>
        <v>6.788261416829755E-3</v>
      </c>
    </row>
    <row r="277" spans="2:24" x14ac:dyDescent="0.25">
      <c r="B277">
        <f t="shared" si="91"/>
        <v>262</v>
      </c>
      <c r="C277">
        <f t="shared" si="92"/>
        <v>292.0007209040952</v>
      </c>
      <c r="D277">
        <f t="shared" si="93"/>
        <v>0.14269800749253853</v>
      </c>
      <c r="F277">
        <f t="shared" si="89"/>
        <v>262</v>
      </c>
      <c r="G277">
        <f t="shared" si="90"/>
        <v>291.96001517949549</v>
      </c>
      <c r="H277">
        <f t="shared" si="83"/>
        <v>0.1434166108515593</v>
      </c>
      <c r="I277">
        <f t="shared" si="84"/>
        <v>292.10343179034703</v>
      </c>
      <c r="J277">
        <f t="shared" si="85"/>
        <v>0.14088444543046025</v>
      </c>
      <c r="L277">
        <f t="shared" si="94"/>
        <v>262</v>
      </c>
      <c r="M277">
        <f t="shared" si="95"/>
        <v>291.96669231040823</v>
      </c>
      <c r="N277">
        <f t="shared" si="96"/>
        <v>0.14329874062017534</v>
      </c>
      <c r="O277">
        <f t="shared" si="97"/>
        <v>0.1420337959706133</v>
      </c>
      <c r="P277">
        <f t="shared" si="98"/>
        <v>0.1420449630954759</v>
      </c>
      <c r="Q277">
        <f t="shared" si="99"/>
        <v>0.1407907533749633</v>
      </c>
      <c r="S277">
        <f t="shared" si="80"/>
        <v>262</v>
      </c>
      <c r="T277">
        <f t="shared" si="86"/>
        <v>292.0007209040952</v>
      </c>
      <c r="U277">
        <f t="shared" si="87"/>
        <v>291.96001517949549</v>
      </c>
      <c r="V277">
        <f t="shared" si="88"/>
        <v>291.96669231040823</v>
      </c>
      <c r="W277">
        <f t="shared" si="81"/>
        <v>3.4028593686969089E-2</v>
      </c>
      <c r="X277">
        <f t="shared" si="82"/>
        <v>6.6771309127489076E-3</v>
      </c>
    </row>
    <row r="278" spans="2:24" x14ac:dyDescent="0.25">
      <c r="B278">
        <f t="shared" si="91"/>
        <v>263</v>
      </c>
      <c r="C278">
        <f t="shared" si="92"/>
        <v>292.14341891158773</v>
      </c>
      <c r="D278">
        <f t="shared" si="93"/>
        <v>0.14017826150273147</v>
      </c>
      <c r="F278">
        <f t="shared" si="89"/>
        <v>263</v>
      </c>
      <c r="G278">
        <f t="shared" si="90"/>
        <v>292.10216570763652</v>
      </c>
      <c r="H278">
        <f t="shared" si="83"/>
        <v>0.14090680359464472</v>
      </c>
      <c r="I278">
        <f t="shared" si="84"/>
        <v>292.24307251123116</v>
      </c>
      <c r="J278">
        <f t="shared" si="85"/>
        <v>0.13841802659050187</v>
      </c>
      <c r="L278">
        <f t="shared" si="94"/>
        <v>263</v>
      </c>
      <c r="M278">
        <f t="shared" si="95"/>
        <v>292.10873347909614</v>
      </c>
      <c r="N278">
        <f t="shared" si="96"/>
        <v>0.1407908203826834</v>
      </c>
      <c r="O278">
        <f t="shared" si="97"/>
        <v>0.13954755019964116</v>
      </c>
      <c r="P278">
        <f t="shared" si="98"/>
        <v>0.13955853005568772</v>
      </c>
      <c r="Q278">
        <f t="shared" si="99"/>
        <v>0.13832581906002306</v>
      </c>
      <c r="S278">
        <f t="shared" si="80"/>
        <v>263</v>
      </c>
      <c r="T278">
        <f t="shared" si="86"/>
        <v>292.14341891158773</v>
      </c>
      <c r="U278">
        <f t="shared" si="87"/>
        <v>292.10216570763652</v>
      </c>
      <c r="V278">
        <f t="shared" si="88"/>
        <v>292.10873347909614</v>
      </c>
      <c r="W278">
        <f t="shared" si="81"/>
        <v>3.4685432491585289E-2</v>
      </c>
      <c r="X278">
        <f t="shared" si="82"/>
        <v>6.5677714596290571E-3</v>
      </c>
    </row>
    <row r="279" spans="2:24" x14ac:dyDescent="0.25">
      <c r="B279">
        <f t="shared" si="91"/>
        <v>264</v>
      </c>
      <c r="C279">
        <f t="shared" si="92"/>
        <v>292.28359717309047</v>
      </c>
      <c r="D279">
        <f t="shared" si="93"/>
        <v>0.13770208554435137</v>
      </c>
      <c r="F279">
        <f t="shared" si="89"/>
        <v>264</v>
      </c>
      <c r="G279">
        <f t="shared" si="90"/>
        <v>292.24182812272909</v>
      </c>
      <c r="H279">
        <f t="shared" si="83"/>
        <v>0.13844000974199711</v>
      </c>
      <c r="I279">
        <f t="shared" si="84"/>
        <v>292.38026813247109</v>
      </c>
      <c r="J279">
        <f t="shared" si="85"/>
        <v>0.13599391052814871</v>
      </c>
      <c r="L279">
        <f t="shared" si="94"/>
        <v>264</v>
      </c>
      <c r="M279">
        <f t="shared" si="95"/>
        <v>292.2482882790884</v>
      </c>
      <c r="N279">
        <f t="shared" si="96"/>
        <v>0.13832588495569109</v>
      </c>
      <c r="O279">
        <f t="shared" si="97"/>
        <v>0.13710393428212544</v>
      </c>
      <c r="P279">
        <f t="shared" si="98"/>
        <v>0.13711472979066372</v>
      </c>
      <c r="Q279">
        <f t="shared" si="99"/>
        <v>0.13590316514409867</v>
      </c>
      <c r="S279">
        <f t="shared" si="80"/>
        <v>264</v>
      </c>
      <c r="T279">
        <f t="shared" si="86"/>
        <v>292.28359717309047</v>
      </c>
      <c r="U279">
        <f t="shared" si="87"/>
        <v>292.24182812272909</v>
      </c>
      <c r="V279">
        <f t="shared" si="88"/>
        <v>292.2482882790884</v>
      </c>
      <c r="W279">
        <f t="shared" si="81"/>
        <v>3.5308894002071156E-2</v>
      </c>
      <c r="X279">
        <f t="shared" si="82"/>
        <v>6.4601563593100764E-3</v>
      </c>
    </row>
    <row r="280" spans="2:24" x14ac:dyDescent="0.25">
      <c r="B280">
        <f t="shared" si="91"/>
        <v>265</v>
      </c>
      <c r="C280">
        <f t="shared" si="92"/>
        <v>292.4212992586348</v>
      </c>
      <c r="D280">
        <f t="shared" si="93"/>
        <v>0.13526875943815095</v>
      </c>
      <c r="F280">
        <f t="shared" si="89"/>
        <v>265</v>
      </c>
      <c r="G280">
        <f t="shared" si="90"/>
        <v>292.37904508286414</v>
      </c>
      <c r="H280">
        <f t="shared" si="83"/>
        <v>0.13601552452011909</v>
      </c>
      <c r="I280">
        <f t="shared" si="84"/>
        <v>292.51506060738427</v>
      </c>
      <c r="J280">
        <f t="shared" si="85"/>
        <v>0.13361140292074219</v>
      </c>
      <c r="L280">
        <f t="shared" si="94"/>
        <v>265</v>
      </c>
      <c r="M280">
        <f t="shared" si="95"/>
        <v>292.38539934212929</v>
      </c>
      <c r="N280">
        <f t="shared" si="96"/>
        <v>0.13590322994465723</v>
      </c>
      <c r="O280">
        <f t="shared" si="97"/>
        <v>0.13470224904198555</v>
      </c>
      <c r="P280">
        <f t="shared" si="98"/>
        <v>0.13471286308671901</v>
      </c>
      <c r="Q280">
        <f t="shared" si="99"/>
        <v>0.13352209760515907</v>
      </c>
      <c r="S280">
        <f t="shared" si="80"/>
        <v>265</v>
      </c>
      <c r="T280">
        <f t="shared" si="86"/>
        <v>292.4212992586348</v>
      </c>
      <c r="U280">
        <f t="shared" si="87"/>
        <v>292.37904508286414</v>
      </c>
      <c r="V280">
        <f t="shared" si="88"/>
        <v>292.38539934212929</v>
      </c>
      <c r="W280">
        <f t="shared" si="81"/>
        <v>3.5899916505513829E-2</v>
      </c>
      <c r="X280">
        <f t="shared" si="82"/>
        <v>6.3542592651515406E-3</v>
      </c>
    </row>
    <row r="281" spans="2:24" x14ac:dyDescent="0.25">
      <c r="B281">
        <f t="shared" si="91"/>
        <v>266</v>
      </c>
      <c r="C281">
        <f t="shared" si="92"/>
        <v>292.55656801807294</v>
      </c>
      <c r="D281">
        <f t="shared" si="93"/>
        <v>0.13287757369699019</v>
      </c>
      <c r="F281">
        <f t="shared" si="89"/>
        <v>266</v>
      </c>
      <c r="G281">
        <f t="shared" si="90"/>
        <v>292.51385854658457</v>
      </c>
      <c r="H281">
        <f t="shared" si="83"/>
        <v>0.13363265353090073</v>
      </c>
      <c r="I281">
        <f t="shared" si="84"/>
        <v>292.6474912001155</v>
      </c>
      <c r="J281">
        <f t="shared" si="85"/>
        <v>0.131269819711891</v>
      </c>
      <c r="L281">
        <f t="shared" si="94"/>
        <v>266</v>
      </c>
      <c r="M281">
        <f t="shared" si="95"/>
        <v>292.52010860076382</v>
      </c>
      <c r="N281">
        <f t="shared" si="96"/>
        <v>0.13352216132734929</v>
      </c>
      <c r="O281">
        <f t="shared" si="97"/>
        <v>0.13234180562103193</v>
      </c>
      <c r="P281">
        <f t="shared" si="98"/>
        <v>0.13235224104826232</v>
      </c>
      <c r="Q281">
        <f t="shared" si="99"/>
        <v>0.13118193268467365</v>
      </c>
      <c r="S281">
        <f t="shared" si="80"/>
        <v>266</v>
      </c>
      <c r="T281">
        <f t="shared" si="86"/>
        <v>292.55656801807294</v>
      </c>
      <c r="U281">
        <f t="shared" si="87"/>
        <v>292.51385854658457</v>
      </c>
      <c r="V281">
        <f t="shared" si="88"/>
        <v>292.52010860076382</v>
      </c>
      <c r="W281">
        <f t="shared" si="81"/>
        <v>3.6459417309117725E-2</v>
      </c>
      <c r="X281">
        <f t="shared" si="82"/>
        <v>6.2500541792473996E-3</v>
      </c>
    </row>
    <row r="282" spans="2:24" x14ac:dyDescent="0.25">
      <c r="B282">
        <f t="shared" si="91"/>
        <v>267</v>
      </c>
      <c r="C282">
        <f t="shared" si="92"/>
        <v>292.68944559176992</v>
      </c>
      <c r="D282">
        <f t="shared" si="93"/>
        <v>0.1305278294129357</v>
      </c>
      <c r="F282">
        <f t="shared" si="89"/>
        <v>267</v>
      </c>
      <c r="G282">
        <f t="shared" si="90"/>
        <v>292.64630978320599</v>
      </c>
      <c r="H282">
        <f t="shared" si="83"/>
        <v>0.13129071264286704</v>
      </c>
      <c r="I282">
        <f t="shared" si="84"/>
        <v>292.77760049584884</v>
      </c>
      <c r="J282">
        <f t="shared" si="85"/>
        <v>0.12896848700201918</v>
      </c>
      <c r="L282">
        <f t="shared" si="94"/>
        <v>267</v>
      </c>
      <c r="M282">
        <f t="shared" si="95"/>
        <v>292.65245729865558</v>
      </c>
      <c r="N282">
        <f t="shared" si="96"/>
        <v>0.13118199534502969</v>
      </c>
      <c r="O282">
        <f t="shared" si="97"/>
        <v>0.13002192536982732</v>
      </c>
      <c r="P282">
        <f t="shared" si="98"/>
        <v>0.1300321849886216</v>
      </c>
      <c r="Q282">
        <f t="shared" si="99"/>
        <v>0.12888199677811873</v>
      </c>
      <c r="S282">
        <f t="shared" si="80"/>
        <v>267</v>
      </c>
      <c r="T282">
        <f t="shared" si="86"/>
        <v>292.68944559176992</v>
      </c>
      <c r="U282">
        <f t="shared" si="87"/>
        <v>292.64630978320599</v>
      </c>
      <c r="V282">
        <f t="shared" si="88"/>
        <v>292.65245729865558</v>
      </c>
      <c r="W282">
        <f t="shared" si="81"/>
        <v>3.6988293114347925E-2</v>
      </c>
      <c r="X282">
        <f t="shared" si="82"/>
        <v>6.1475154495838069E-3</v>
      </c>
    </row>
    <row r="283" spans="2:24" x14ac:dyDescent="0.25">
      <c r="B283">
        <f t="shared" si="91"/>
        <v>268</v>
      </c>
      <c r="C283">
        <f t="shared" si="92"/>
        <v>292.81997342118285</v>
      </c>
      <c r="D283">
        <f t="shared" si="93"/>
        <v>0.12821883814366392</v>
      </c>
      <c r="F283">
        <f t="shared" si="89"/>
        <v>268</v>
      </c>
      <c r="G283">
        <f t="shared" si="90"/>
        <v>292.77643938302845</v>
      </c>
      <c r="H283">
        <f t="shared" si="83"/>
        <v>0.12898902788173458</v>
      </c>
      <c r="I283">
        <f t="shared" si="84"/>
        <v>292.90542841091019</v>
      </c>
      <c r="J283">
        <f t="shared" si="85"/>
        <v>0.1267067409383259</v>
      </c>
      <c r="L283">
        <f t="shared" si="94"/>
        <v>268</v>
      </c>
      <c r="M283">
        <f t="shared" si="95"/>
        <v>292.78248600079559</v>
      </c>
      <c r="N283">
        <f t="shared" si="96"/>
        <v>0.12888205839297739</v>
      </c>
      <c r="O283">
        <f t="shared" si="97"/>
        <v>0.12774193973787604</v>
      </c>
      <c r="P283">
        <f t="shared" si="98"/>
        <v>0.12775202632028318</v>
      </c>
      <c r="Q283">
        <f t="shared" si="99"/>
        <v>0.12662162632494342</v>
      </c>
      <c r="S283">
        <f t="shared" si="80"/>
        <v>268</v>
      </c>
      <c r="T283">
        <f t="shared" si="86"/>
        <v>292.81997342118285</v>
      </c>
      <c r="U283">
        <f t="shared" si="87"/>
        <v>292.77643938302845</v>
      </c>
      <c r="V283">
        <f t="shared" si="88"/>
        <v>292.78248600079559</v>
      </c>
      <c r="W283">
        <f t="shared" si="81"/>
        <v>3.7487420387265047E-2</v>
      </c>
      <c r="X283">
        <f t="shared" si="82"/>
        <v>6.0466177671401056E-3</v>
      </c>
    </row>
    <row r="284" spans="2:24" x14ac:dyDescent="0.25">
      <c r="B284">
        <f t="shared" si="91"/>
        <v>269</v>
      </c>
      <c r="C284">
        <f t="shared" si="92"/>
        <v>292.9481922593265</v>
      </c>
      <c r="D284">
        <f t="shared" si="93"/>
        <v>0.1259499217982335</v>
      </c>
      <c r="F284">
        <f t="shared" si="89"/>
        <v>269</v>
      </c>
      <c r="G284">
        <f t="shared" si="90"/>
        <v>292.90428726743846</v>
      </c>
      <c r="H284">
        <f t="shared" si="83"/>
        <v>0.12672693532041315</v>
      </c>
      <c r="I284">
        <f t="shared" si="84"/>
        <v>293.03101420275885</v>
      </c>
      <c r="J284">
        <f t="shared" si="85"/>
        <v>0.12448392760428517</v>
      </c>
      <c r="L284">
        <f t="shared" si="94"/>
        <v>269</v>
      </c>
      <c r="M284">
        <f t="shared" si="95"/>
        <v>292.91023460360128</v>
      </c>
      <c r="N284">
        <f t="shared" si="96"/>
        <v>0.12662168691043488</v>
      </c>
      <c r="O284">
        <f t="shared" si="97"/>
        <v>0.12550119016333974</v>
      </c>
      <c r="P284">
        <f t="shared" si="98"/>
        <v>0.12551110644459731</v>
      </c>
      <c r="Q284">
        <f t="shared" si="99"/>
        <v>0.12440016769802104</v>
      </c>
      <c r="S284">
        <f t="shared" ref="S284:S347" si="100">S283+1</f>
        <v>269</v>
      </c>
      <c r="T284">
        <f t="shared" si="86"/>
        <v>292.9481922593265</v>
      </c>
      <c r="U284">
        <f t="shared" si="87"/>
        <v>292.90428726743846</v>
      </c>
      <c r="V284">
        <f t="shared" si="88"/>
        <v>292.91023460360128</v>
      </c>
      <c r="W284">
        <f t="shared" ref="W284:W347" si="101">ABS(T284-V284)</f>
        <v>3.7957655725222139E-2</v>
      </c>
      <c r="X284">
        <f t="shared" ref="X284:X347" si="102">ABS(U284-V284)</f>
        <v>5.9473361628192833E-3</v>
      </c>
    </row>
    <row r="285" spans="2:24" x14ac:dyDescent="0.25">
      <c r="B285">
        <f t="shared" si="91"/>
        <v>270</v>
      </c>
      <c r="C285">
        <f t="shared" si="92"/>
        <v>293.07414218112473</v>
      </c>
      <c r="D285">
        <f t="shared" si="93"/>
        <v>0.12372041252236764</v>
      </c>
      <c r="F285">
        <f t="shared" si="89"/>
        <v>270</v>
      </c>
      <c r="G285">
        <f t="shared" si="90"/>
        <v>293.02989269890082</v>
      </c>
      <c r="H285">
        <f t="shared" si="83"/>
        <v>0.12450378096851773</v>
      </c>
      <c r="I285">
        <f t="shared" si="84"/>
        <v>293.15439647986932</v>
      </c>
      <c r="J285">
        <f t="shared" si="85"/>
        <v>0.1222994029087327</v>
      </c>
      <c r="L285">
        <f t="shared" si="94"/>
        <v>270</v>
      </c>
      <c r="M285">
        <f t="shared" si="95"/>
        <v>293.03574234490532</v>
      </c>
      <c r="N285">
        <f t="shared" si="96"/>
        <v>0.1244002272700744</v>
      </c>
      <c r="O285">
        <f t="shared" si="97"/>
        <v>0.12329902796227252</v>
      </c>
      <c r="P285">
        <f t="shared" si="98"/>
        <v>0.12330877664103632</v>
      </c>
      <c r="Q285">
        <f t="shared" si="99"/>
        <v>0.12221697709274162</v>
      </c>
      <c r="S285">
        <f t="shared" si="100"/>
        <v>270</v>
      </c>
      <c r="T285">
        <f t="shared" si="86"/>
        <v>293.07414218112473</v>
      </c>
      <c r="U285">
        <f t="shared" si="87"/>
        <v>293.02989269890082</v>
      </c>
      <c r="V285">
        <f t="shared" si="88"/>
        <v>293.03574234490532</v>
      </c>
      <c r="W285">
        <f t="shared" si="101"/>
        <v>3.8399836219412009E-2</v>
      </c>
      <c r="X285">
        <f t="shared" si="102"/>
        <v>5.849646004492115E-3</v>
      </c>
    </row>
    <row r="286" spans="2:24" x14ac:dyDescent="0.25">
      <c r="B286">
        <f t="shared" si="91"/>
        <v>271</v>
      </c>
      <c r="C286">
        <f t="shared" si="92"/>
        <v>293.19786259364707</v>
      </c>
      <c r="D286">
        <f t="shared" si="93"/>
        <v>0.1215296525833055</v>
      </c>
      <c r="F286">
        <f t="shared" si="89"/>
        <v>271</v>
      </c>
      <c r="G286">
        <f t="shared" si="90"/>
        <v>293.15329429083943</v>
      </c>
      <c r="H286">
        <f t="shared" si="83"/>
        <v>0.12231892066148284</v>
      </c>
      <c r="I286">
        <f t="shared" si="84"/>
        <v>293.27561321150091</v>
      </c>
      <c r="J286">
        <f t="shared" si="85"/>
        <v>0.12015253247467243</v>
      </c>
      <c r="L286">
        <f t="shared" si="94"/>
        <v>271</v>
      </c>
      <c r="M286">
        <f t="shared" si="95"/>
        <v>293.15904781383358</v>
      </c>
      <c r="N286">
        <f t="shared" si="96"/>
        <v>0.12221703566708449</v>
      </c>
      <c r="O286">
        <f t="shared" si="97"/>
        <v>0.12113481421755733</v>
      </c>
      <c r="P286">
        <f t="shared" si="98"/>
        <v>0.12114439795612733</v>
      </c>
      <c r="Q286">
        <f t="shared" si="99"/>
        <v>0.12007142041578893</v>
      </c>
      <c r="S286">
        <f t="shared" si="100"/>
        <v>271</v>
      </c>
      <c r="T286">
        <f t="shared" si="86"/>
        <v>293.19786259364707</v>
      </c>
      <c r="U286">
        <f t="shared" si="87"/>
        <v>293.15329429083943</v>
      </c>
      <c r="V286">
        <f t="shared" si="88"/>
        <v>293.15904781383358</v>
      </c>
      <c r="W286">
        <f t="shared" si="101"/>
        <v>3.8814779813492351E-2</v>
      </c>
      <c r="X286">
        <f t="shared" si="102"/>
        <v>5.7535229941549915E-3</v>
      </c>
    </row>
    <row r="287" spans="2:24" x14ac:dyDescent="0.25">
      <c r="B287">
        <f t="shared" si="91"/>
        <v>272</v>
      </c>
      <c r="C287">
        <f t="shared" si="92"/>
        <v>293.31939224623039</v>
      </c>
      <c r="D287">
        <f t="shared" si="93"/>
        <v>0.11937699425433944</v>
      </c>
      <c r="F287">
        <f t="shared" si="89"/>
        <v>272</v>
      </c>
      <c r="G287">
        <f t="shared" si="90"/>
        <v>293.27453001740753</v>
      </c>
      <c r="H287">
        <f t="shared" si="83"/>
        <v>0.1201717199493898</v>
      </c>
      <c r="I287">
        <f t="shared" si="84"/>
        <v>293.39470173735691</v>
      </c>
      <c r="J287">
        <f t="shared" si="85"/>
        <v>0.1180426915278491</v>
      </c>
      <c r="L287">
        <f t="shared" si="94"/>
        <v>272</v>
      </c>
      <c r="M287">
        <f t="shared" si="95"/>
        <v>293.28018896057193</v>
      </c>
      <c r="N287">
        <f t="shared" si="96"/>
        <v>0.12007147800795573</v>
      </c>
      <c r="O287">
        <f t="shared" si="97"/>
        <v>0.11900791966756</v>
      </c>
      <c r="P287">
        <f t="shared" si="98"/>
        <v>0.11901734109213467</v>
      </c>
      <c r="Q287">
        <f t="shared" si="99"/>
        <v>0.11796287317371919</v>
      </c>
      <c r="S287">
        <f t="shared" si="100"/>
        <v>272</v>
      </c>
      <c r="T287">
        <f t="shared" si="86"/>
        <v>293.31939224623039</v>
      </c>
      <c r="U287">
        <f t="shared" si="87"/>
        <v>293.27453001740753</v>
      </c>
      <c r="V287">
        <f t="shared" si="88"/>
        <v>293.28018896057193</v>
      </c>
      <c r="W287">
        <f t="shared" si="101"/>
        <v>3.9203285658459208E-2</v>
      </c>
      <c r="X287">
        <f t="shared" si="102"/>
        <v>5.6589431644056276E-3</v>
      </c>
    </row>
    <row r="288" spans="2:24" x14ac:dyDescent="0.25">
      <c r="B288">
        <f t="shared" si="91"/>
        <v>273</v>
      </c>
      <c r="C288">
        <f t="shared" si="92"/>
        <v>293.43876924048476</v>
      </c>
      <c r="D288">
        <f t="shared" si="93"/>
        <v>0.11726179969911925</v>
      </c>
      <c r="F288">
        <f t="shared" si="89"/>
        <v>273</v>
      </c>
      <c r="G288">
        <f t="shared" si="90"/>
        <v>293.39363722314613</v>
      </c>
      <c r="H288">
        <f t="shared" si="83"/>
        <v>0.11806155398555181</v>
      </c>
      <c r="I288">
        <f t="shared" si="84"/>
        <v>293.5116987771317</v>
      </c>
      <c r="J288">
        <f t="shared" si="85"/>
        <v>0.11596926478518189</v>
      </c>
      <c r="L288">
        <f t="shared" si="94"/>
        <v>273</v>
      </c>
      <c r="M288">
        <f t="shared" si="95"/>
        <v>293.39920310602213</v>
      </c>
      <c r="N288">
        <f t="shared" si="96"/>
        <v>0.11796292979903694</v>
      </c>
      <c r="O288">
        <f t="shared" si="97"/>
        <v>0.11691772459459716</v>
      </c>
      <c r="P288">
        <f t="shared" si="98"/>
        <v>0.11692698629552949</v>
      </c>
      <c r="Q288">
        <f t="shared" si="99"/>
        <v>0.1158907203613691</v>
      </c>
      <c r="S288">
        <f t="shared" si="100"/>
        <v>273</v>
      </c>
      <c r="T288">
        <f t="shared" si="86"/>
        <v>293.43876924048476</v>
      </c>
      <c r="U288">
        <f t="shared" si="87"/>
        <v>293.39363722314613</v>
      </c>
      <c r="V288">
        <f t="shared" si="88"/>
        <v>293.39920310602213</v>
      </c>
      <c r="W288">
        <f t="shared" si="101"/>
        <v>3.9566134462631908E-2</v>
      </c>
      <c r="X288">
        <f t="shared" si="102"/>
        <v>5.5658828759987955E-3</v>
      </c>
    </row>
    <row r="289" spans="2:24" x14ac:dyDescent="0.25">
      <c r="B289">
        <f t="shared" si="91"/>
        <v>274</v>
      </c>
      <c r="C289">
        <f t="shared" si="92"/>
        <v>293.55603104018388</v>
      </c>
      <c r="D289">
        <f t="shared" si="93"/>
        <v>0.11518344085580574</v>
      </c>
      <c r="F289">
        <f t="shared" si="89"/>
        <v>274</v>
      </c>
      <c r="G289">
        <f t="shared" si="90"/>
        <v>293.5106526325315</v>
      </c>
      <c r="H289">
        <f t="shared" si="83"/>
        <v>0.11598780741497962</v>
      </c>
      <c r="I289">
        <f t="shared" si="84"/>
        <v>293.62664043994647</v>
      </c>
      <c r="J289">
        <f t="shared" si="85"/>
        <v>0.11393164634314273</v>
      </c>
      <c r="L289">
        <f t="shared" si="94"/>
        <v>274</v>
      </c>
      <c r="M289">
        <f t="shared" si="95"/>
        <v>293.5161269513456</v>
      </c>
      <c r="N289">
        <f t="shared" si="96"/>
        <v>0.11589077603496817</v>
      </c>
      <c r="O289">
        <f t="shared" si="97"/>
        <v>0.11486361871334498</v>
      </c>
      <c r="P289">
        <f t="shared" si="98"/>
        <v>0.11487272324538951</v>
      </c>
      <c r="Q289">
        <f t="shared" si="99"/>
        <v>0.11385435635022581</v>
      </c>
      <c r="S289">
        <f t="shared" si="100"/>
        <v>274</v>
      </c>
      <c r="T289">
        <f t="shared" si="86"/>
        <v>293.55603104018388</v>
      </c>
      <c r="U289">
        <f t="shared" si="87"/>
        <v>293.5106526325315</v>
      </c>
      <c r="V289">
        <f t="shared" si="88"/>
        <v>293.5161269513456</v>
      </c>
      <c r="W289">
        <f t="shared" si="101"/>
        <v>3.9904088838284224E-2</v>
      </c>
      <c r="X289">
        <f t="shared" si="102"/>
        <v>5.4743188140946586E-3</v>
      </c>
    </row>
    <row r="290" spans="2:24" x14ac:dyDescent="0.25">
      <c r="B290">
        <f t="shared" si="91"/>
        <v>275</v>
      </c>
      <c r="C290">
        <f t="shared" si="92"/>
        <v>293.67121448103967</v>
      </c>
      <c r="D290">
        <f t="shared" si="93"/>
        <v>0.11314129932113463</v>
      </c>
      <c r="F290">
        <f t="shared" si="89"/>
        <v>275</v>
      </c>
      <c r="G290">
        <f t="shared" si="90"/>
        <v>293.62561235941058</v>
      </c>
      <c r="H290">
        <f t="shared" si="83"/>
        <v>0.11394987426275455</v>
      </c>
      <c r="I290">
        <f t="shared" si="84"/>
        <v>293.73956223367333</v>
      </c>
      <c r="J290">
        <f t="shared" si="85"/>
        <v>0.11192923956611477</v>
      </c>
      <c r="L290">
        <f t="shared" si="94"/>
        <v>275</v>
      </c>
      <c r="M290">
        <f t="shared" si="95"/>
        <v>293.63099658739606</v>
      </c>
      <c r="N290">
        <f t="shared" si="96"/>
        <v>0.11385441108704268</v>
      </c>
      <c r="O290">
        <f t="shared" si="97"/>
        <v>0.11284500105915765</v>
      </c>
      <c r="P290">
        <f t="shared" si="98"/>
        <v>0.11285395094175724</v>
      </c>
      <c r="Q290">
        <f t="shared" si="99"/>
        <v>0.11185318477679282</v>
      </c>
      <c r="S290">
        <f t="shared" si="100"/>
        <v>275</v>
      </c>
      <c r="T290">
        <f t="shared" si="86"/>
        <v>293.67121448103967</v>
      </c>
      <c r="U290">
        <f t="shared" si="87"/>
        <v>293.62561235941058</v>
      </c>
      <c r="V290">
        <f t="shared" si="88"/>
        <v>293.63099658739606</v>
      </c>
      <c r="W290">
        <f t="shared" si="101"/>
        <v>4.0217893643614389E-2</v>
      </c>
      <c r="X290">
        <f t="shared" si="102"/>
        <v>5.3842279854734443E-3</v>
      </c>
    </row>
    <row r="291" spans="2:24" x14ac:dyDescent="0.25">
      <c r="B291">
        <f t="shared" si="91"/>
        <v>276</v>
      </c>
      <c r="C291">
        <f t="shared" si="92"/>
        <v>293.78435578036078</v>
      </c>
      <c r="D291">
        <f t="shared" si="93"/>
        <v>0.11113476623450531</v>
      </c>
      <c r="F291">
        <f t="shared" si="89"/>
        <v>276</v>
      </c>
      <c r="G291">
        <f t="shared" si="90"/>
        <v>293.73855191632504</v>
      </c>
      <c r="H291">
        <f t="shared" si="83"/>
        <v>0.11194715782242896</v>
      </c>
      <c r="I291">
        <f t="shared" si="84"/>
        <v>293.85049907414748</v>
      </c>
      <c r="J291">
        <f t="shared" si="85"/>
        <v>0.10996145697484808</v>
      </c>
      <c r="L291">
        <f t="shared" si="94"/>
        <v>276</v>
      </c>
      <c r="M291">
        <f t="shared" si="95"/>
        <v>293.74384750404033</v>
      </c>
      <c r="N291">
        <f t="shared" si="96"/>
        <v>0.11185323859156639</v>
      </c>
      <c r="O291">
        <f t="shared" si="97"/>
        <v>0.11086127987648356</v>
      </c>
      <c r="P291">
        <f t="shared" si="98"/>
        <v>0.11087007759404502</v>
      </c>
      <c r="Q291">
        <f t="shared" si="99"/>
        <v>0.10988661843103419</v>
      </c>
      <c r="S291">
        <f t="shared" si="100"/>
        <v>276</v>
      </c>
      <c r="T291">
        <f t="shared" si="86"/>
        <v>293.78435578036078</v>
      </c>
      <c r="U291">
        <f t="shared" si="87"/>
        <v>293.73855191632504</v>
      </c>
      <c r="V291">
        <f t="shared" si="88"/>
        <v>293.74384750404033</v>
      </c>
      <c r="W291">
        <f t="shared" si="101"/>
        <v>4.0508276320451841E-2</v>
      </c>
      <c r="X291">
        <f t="shared" si="102"/>
        <v>5.295587715295369E-3</v>
      </c>
    </row>
    <row r="292" spans="2:24" x14ac:dyDescent="0.25">
      <c r="B292">
        <f t="shared" si="91"/>
        <v>277</v>
      </c>
      <c r="C292">
        <f t="shared" si="92"/>
        <v>293.89549054659528</v>
      </c>
      <c r="D292">
        <f t="shared" si="93"/>
        <v>0.109163242162133</v>
      </c>
      <c r="F292">
        <f t="shared" si="89"/>
        <v>277</v>
      </c>
      <c r="G292">
        <f t="shared" si="90"/>
        <v>293.84950622372367</v>
      </c>
      <c r="H292">
        <f t="shared" si="83"/>
        <v>0.10997907054448068</v>
      </c>
      <c r="I292">
        <f t="shared" si="84"/>
        <v>293.95948529426812</v>
      </c>
      <c r="J292">
        <f t="shared" si="85"/>
        <v>0.10802772013502998</v>
      </c>
      <c r="L292">
        <f t="shared" si="94"/>
        <v>277</v>
      </c>
      <c r="M292">
        <f t="shared" si="95"/>
        <v>293.85471459936758</v>
      </c>
      <c r="N292">
        <f t="shared" si="96"/>
        <v>0.10988667133830653</v>
      </c>
      <c r="O292">
        <f t="shared" si="97"/>
        <v>0.10891187250735022</v>
      </c>
      <c r="P292">
        <f t="shared" si="98"/>
        <v>0.10892052050952221</v>
      </c>
      <c r="Q292">
        <f t="shared" si="99"/>
        <v>0.10795407914493814</v>
      </c>
      <c r="S292">
        <f t="shared" si="100"/>
        <v>277</v>
      </c>
      <c r="T292">
        <f t="shared" si="86"/>
        <v>293.89549054659528</v>
      </c>
      <c r="U292">
        <f t="shared" si="87"/>
        <v>293.84950622372367</v>
      </c>
      <c r="V292">
        <f t="shared" si="88"/>
        <v>293.85471459936758</v>
      </c>
      <c r="W292">
        <f t="shared" si="101"/>
        <v>4.0775947227700726E-2</v>
      </c>
      <c r="X292">
        <f t="shared" si="102"/>
        <v>5.2083756439174067E-3</v>
      </c>
    </row>
    <row r="293" spans="2:24" x14ac:dyDescent="0.25">
      <c r="B293">
        <f t="shared" si="91"/>
        <v>278</v>
      </c>
      <c r="C293">
        <f t="shared" si="92"/>
        <v>294.00465378875742</v>
      </c>
      <c r="D293">
        <f t="shared" si="93"/>
        <v>0.10722613698133782</v>
      </c>
      <c r="F293">
        <f t="shared" si="89"/>
        <v>278</v>
      </c>
      <c r="G293">
        <f t="shared" si="90"/>
        <v>293.95850961906342</v>
      </c>
      <c r="H293">
        <f t="shared" si="83"/>
        <v>0.10804503392489535</v>
      </c>
      <c r="I293">
        <f t="shared" si="84"/>
        <v>294.06655465298832</v>
      </c>
      <c r="J293">
        <f t="shared" si="85"/>
        <v>0.10612745954607065</v>
      </c>
      <c r="L293">
        <f t="shared" si="94"/>
        <v>278</v>
      </c>
      <c r="M293">
        <f t="shared" si="95"/>
        <v>293.96363218878707</v>
      </c>
      <c r="N293">
        <f t="shared" si="96"/>
        <v>0.10795413115906084</v>
      </c>
      <c r="O293">
        <f t="shared" si="97"/>
        <v>0.10699620528003409</v>
      </c>
      <c r="P293">
        <f t="shared" si="98"/>
        <v>0.10700470598200465</v>
      </c>
      <c r="Q293">
        <f t="shared" si="99"/>
        <v>0.10605499768130593</v>
      </c>
      <c r="S293">
        <f t="shared" si="100"/>
        <v>278</v>
      </c>
      <c r="T293">
        <f t="shared" si="86"/>
        <v>294.00465378875742</v>
      </c>
      <c r="U293">
        <f t="shared" si="87"/>
        <v>293.95850961906342</v>
      </c>
      <c r="V293">
        <f t="shared" si="88"/>
        <v>293.96363218878707</v>
      </c>
      <c r="W293">
        <f t="shared" si="101"/>
        <v>4.1021599970349598E-2</v>
      </c>
      <c r="X293">
        <f t="shared" si="102"/>
        <v>5.1225697236532142E-3</v>
      </c>
    </row>
    <row r="294" spans="2:24" x14ac:dyDescent="0.25">
      <c r="B294">
        <f t="shared" si="91"/>
        <v>279</v>
      </c>
      <c r="C294">
        <f t="shared" si="92"/>
        <v>294.11187992573878</v>
      </c>
      <c r="D294">
        <f t="shared" si="93"/>
        <v>0.1053228697650387</v>
      </c>
      <c r="F294">
        <f t="shared" si="89"/>
        <v>279</v>
      </c>
      <c r="G294">
        <f t="shared" si="90"/>
        <v>294.06559586579891</v>
      </c>
      <c r="H294">
        <f t="shared" si="83"/>
        <v>0.10614447839397081</v>
      </c>
      <c r="I294">
        <f t="shared" si="84"/>
        <v>294.17174034419287</v>
      </c>
      <c r="J294">
        <f t="shared" si="85"/>
        <v>0.10426011453011405</v>
      </c>
      <c r="L294">
        <f t="shared" si="94"/>
        <v>279</v>
      </c>
      <c r="M294">
        <f t="shared" si="95"/>
        <v>294.0706340140145</v>
      </c>
      <c r="N294">
        <f t="shared" si="96"/>
        <v>0.10605504881643336</v>
      </c>
      <c r="O294">
        <f t="shared" si="97"/>
        <v>0.10511371339794751</v>
      </c>
      <c r="P294">
        <f t="shared" si="98"/>
        <v>0.10512206918073402</v>
      </c>
      <c r="Q294">
        <f t="shared" si="99"/>
        <v>0.10418881362277251</v>
      </c>
      <c r="S294">
        <f t="shared" si="100"/>
        <v>279</v>
      </c>
      <c r="T294">
        <f t="shared" si="86"/>
        <v>294.11187992573878</v>
      </c>
      <c r="U294">
        <f t="shared" si="87"/>
        <v>294.06559586579891</v>
      </c>
      <c r="V294">
        <f t="shared" si="88"/>
        <v>294.0706340140145</v>
      </c>
      <c r="W294">
        <f t="shared" si="101"/>
        <v>4.124591172427472E-2</v>
      </c>
      <c r="X294">
        <f t="shared" si="102"/>
        <v>5.0381482155898993E-3</v>
      </c>
    </row>
    <row r="295" spans="2:24" x14ac:dyDescent="0.25">
      <c r="B295">
        <f t="shared" si="91"/>
        <v>280</v>
      </c>
      <c r="C295">
        <f t="shared" si="92"/>
        <v>294.21720279550379</v>
      </c>
      <c r="D295">
        <f t="shared" si="93"/>
        <v>0.10345286866652785</v>
      </c>
      <c r="F295">
        <f t="shared" si="89"/>
        <v>280</v>
      </c>
      <c r="G295">
        <f t="shared" si="90"/>
        <v>294.17079816226095</v>
      </c>
      <c r="H295">
        <f t="shared" si="83"/>
        <v>0.10427684320534215</v>
      </c>
      <c r="I295">
        <f t="shared" si="84"/>
        <v>294.27507500546631</v>
      </c>
      <c r="J295">
        <f t="shared" si="85"/>
        <v>0.1024251331213879</v>
      </c>
      <c r="L295">
        <f t="shared" si="94"/>
        <v>280</v>
      </c>
      <c r="M295">
        <f t="shared" si="95"/>
        <v>294.17575325194724</v>
      </c>
      <c r="N295">
        <f t="shared" si="96"/>
        <v>0.10418886389287088</v>
      </c>
      <c r="O295">
        <f t="shared" si="97"/>
        <v>0.10326384082881458</v>
      </c>
      <c r="P295">
        <f t="shared" si="98"/>
        <v>0.10327205403957745</v>
      </c>
      <c r="Q295">
        <f t="shared" si="99"/>
        <v>0.10235497526113917</v>
      </c>
      <c r="S295">
        <f t="shared" si="100"/>
        <v>280</v>
      </c>
      <c r="T295">
        <f t="shared" si="86"/>
        <v>294.21720279550379</v>
      </c>
      <c r="U295">
        <f t="shared" si="87"/>
        <v>294.17079816226095</v>
      </c>
      <c r="V295">
        <f t="shared" si="88"/>
        <v>294.17575325194724</v>
      </c>
      <c r="W295">
        <f t="shared" si="101"/>
        <v>4.1449543556552726E-2</v>
      </c>
      <c r="X295">
        <f t="shared" si="102"/>
        <v>4.9550896862911031E-3</v>
      </c>
    </row>
    <row r="296" spans="2:24" x14ac:dyDescent="0.25">
      <c r="B296">
        <f t="shared" si="91"/>
        <v>281</v>
      </c>
      <c r="C296">
        <f t="shared" si="92"/>
        <v>294.32065566417032</v>
      </c>
      <c r="D296">
        <f t="shared" si="93"/>
        <v>0.1016155708045402</v>
      </c>
      <c r="F296">
        <f t="shared" si="89"/>
        <v>281</v>
      </c>
      <c r="G296">
        <f t="shared" si="90"/>
        <v>294.27414915042431</v>
      </c>
      <c r="H296">
        <f t="shared" si="83"/>
        <v>0.10244157632533689</v>
      </c>
      <c r="I296">
        <f t="shared" si="84"/>
        <v>294.37659072674967</v>
      </c>
      <c r="J296">
        <f t="shared" si="85"/>
        <v>0.10062197195589372</v>
      </c>
      <c r="L296">
        <f t="shared" si="94"/>
        <v>281</v>
      </c>
      <c r="M296">
        <f t="shared" si="95"/>
        <v>294.27902252342903</v>
      </c>
      <c r="N296">
        <f t="shared" si="96"/>
        <v>0.10235502467998681</v>
      </c>
      <c r="O296">
        <f t="shared" si="97"/>
        <v>0.10144604019418391</v>
      </c>
      <c r="P296">
        <f t="shared" si="98"/>
        <v>0.10145411314652154</v>
      </c>
      <c r="Q296">
        <f t="shared" si="99"/>
        <v>0.10055293948708227</v>
      </c>
      <c r="S296">
        <f t="shared" si="100"/>
        <v>281</v>
      </c>
      <c r="T296">
        <f t="shared" si="86"/>
        <v>294.32065566417032</v>
      </c>
      <c r="U296">
        <f t="shared" si="87"/>
        <v>294.27414915042431</v>
      </c>
      <c r="V296">
        <f t="shared" si="88"/>
        <v>294.27902252342903</v>
      </c>
      <c r="W296">
        <f t="shared" si="101"/>
        <v>4.1633140741282659E-2</v>
      </c>
      <c r="X296">
        <f t="shared" si="102"/>
        <v>4.8733730047274548E-3</v>
      </c>
    </row>
    <row r="297" spans="2:24" x14ac:dyDescent="0.25">
      <c r="B297">
        <f t="shared" si="91"/>
        <v>282</v>
      </c>
      <c r="C297">
        <f t="shared" si="92"/>
        <v>294.42227123497486</v>
      </c>
      <c r="D297">
        <f t="shared" si="93"/>
        <v>9.9810422148720435E-2</v>
      </c>
      <c r="F297">
        <f t="shared" si="89"/>
        <v>282</v>
      </c>
      <c r="G297">
        <f t="shared" si="90"/>
        <v>294.3756809245649</v>
      </c>
      <c r="H297">
        <f t="shared" si="83"/>
        <v>0.10063813432267266</v>
      </c>
      <c r="I297">
        <f t="shared" si="84"/>
        <v>294.47631905888755</v>
      </c>
      <c r="J297">
        <f t="shared" si="85"/>
        <v>9.8850096161502671E-2</v>
      </c>
      <c r="L297">
        <f t="shared" si="94"/>
        <v>282</v>
      </c>
      <c r="M297">
        <f t="shared" si="95"/>
        <v>294.38047390190377</v>
      </c>
      <c r="N297">
        <f t="shared" si="96"/>
        <v>0.10055298806826525</v>
      </c>
      <c r="O297">
        <f t="shared" si="97"/>
        <v>9.9659772659309503E-2</v>
      </c>
      <c r="P297">
        <f t="shared" si="98"/>
        <v>9.9667707633581959E-2</v>
      </c>
      <c r="Q297">
        <f t="shared" si="99"/>
        <v>9.8782171680254285E-2</v>
      </c>
      <c r="S297">
        <f t="shared" si="100"/>
        <v>282</v>
      </c>
      <c r="T297">
        <f t="shared" si="86"/>
        <v>294.42227123497486</v>
      </c>
      <c r="U297">
        <f t="shared" si="87"/>
        <v>294.3756809245649</v>
      </c>
      <c r="V297">
        <f t="shared" si="88"/>
        <v>294.38047390190377</v>
      </c>
      <c r="W297">
        <f t="shared" si="101"/>
        <v>4.1797333071087905E-2</v>
      </c>
      <c r="X297">
        <f t="shared" si="102"/>
        <v>4.7929773388659669E-3</v>
      </c>
    </row>
    <row r="298" spans="2:24" x14ac:dyDescent="0.25">
      <c r="B298">
        <f t="shared" si="91"/>
        <v>283</v>
      </c>
      <c r="C298">
        <f t="shared" si="92"/>
        <v>294.52208165712358</v>
      </c>
      <c r="D298">
        <f t="shared" si="93"/>
        <v>9.8036877405517989E-2</v>
      </c>
      <c r="F298">
        <f t="shared" si="89"/>
        <v>283</v>
      </c>
      <c r="G298">
        <f t="shared" si="90"/>
        <v>294.47542503980696</v>
      </c>
      <c r="H298">
        <f t="shared" si="83"/>
        <v>9.8865982258566465E-2</v>
      </c>
      <c r="I298">
        <f t="shared" si="84"/>
        <v>294.57429102206555</v>
      </c>
      <c r="J298">
        <f t="shared" si="85"/>
        <v>9.7108979248514041E-2</v>
      </c>
      <c r="L298">
        <f t="shared" si="94"/>
        <v>283</v>
      </c>
      <c r="M298">
        <f t="shared" si="95"/>
        <v>294.48013892195951</v>
      </c>
      <c r="N298">
        <f t="shared" si="96"/>
        <v>9.878221943717147E-2</v>
      </c>
      <c r="O298">
        <f t="shared" si="97"/>
        <v>9.7904507823492928E-2</v>
      </c>
      <c r="P298">
        <f t="shared" si="98"/>
        <v>9.7912307067131804E-2</v>
      </c>
      <c r="Q298">
        <f t="shared" si="99"/>
        <v>9.7042145599836788E-2</v>
      </c>
      <c r="S298">
        <f t="shared" si="100"/>
        <v>283</v>
      </c>
      <c r="T298">
        <f t="shared" si="86"/>
        <v>294.52208165712358</v>
      </c>
      <c r="U298">
        <f t="shared" si="87"/>
        <v>294.47542503980696</v>
      </c>
      <c r="V298">
        <f t="shared" si="88"/>
        <v>294.48013892195951</v>
      </c>
      <c r="W298">
        <f t="shared" si="101"/>
        <v>4.1942735164070655E-2</v>
      </c>
      <c r="X298">
        <f t="shared" si="102"/>
        <v>4.713882152543647E-3</v>
      </c>
    </row>
    <row r="299" spans="2:24" x14ac:dyDescent="0.25">
      <c r="B299">
        <f t="shared" si="91"/>
        <v>284</v>
      </c>
      <c r="C299">
        <f t="shared" si="92"/>
        <v>294.62011853452907</v>
      </c>
      <c r="D299">
        <f t="shared" si="93"/>
        <v>9.6294399904546815E-2</v>
      </c>
      <c r="F299">
        <f t="shared" si="89"/>
        <v>284</v>
      </c>
      <c r="G299">
        <f t="shared" si="90"/>
        <v>294.57341252056051</v>
      </c>
      <c r="H299">
        <f t="shared" si="83"/>
        <v>9.7124593577303422E-2</v>
      </c>
      <c r="I299">
        <f t="shared" si="84"/>
        <v>294.6705371141378</v>
      </c>
      <c r="J299">
        <f t="shared" si="85"/>
        <v>9.539810300070492E-2</v>
      </c>
      <c r="L299">
        <f t="shared" si="94"/>
        <v>284</v>
      </c>
      <c r="M299">
        <f t="shared" si="95"/>
        <v>294.57804858776257</v>
      </c>
      <c r="N299">
        <f t="shared" si="96"/>
        <v>9.7042192545704467E-2</v>
      </c>
      <c r="O299">
        <f t="shared" si="97"/>
        <v>9.617972361087633E-2</v>
      </c>
      <c r="P299">
        <f t="shared" si="98"/>
        <v>9.6187389338705104E-2</v>
      </c>
      <c r="Q299">
        <f t="shared" si="99"/>
        <v>9.5332343275615419E-2</v>
      </c>
      <c r="S299">
        <f t="shared" si="100"/>
        <v>284</v>
      </c>
      <c r="T299">
        <f t="shared" si="86"/>
        <v>294.62011853452907</v>
      </c>
      <c r="U299">
        <f t="shared" si="87"/>
        <v>294.57341252056051</v>
      </c>
      <c r="V299">
        <f t="shared" si="88"/>
        <v>294.57804858776257</v>
      </c>
      <c r="W299">
        <f t="shared" si="101"/>
        <v>4.2069946766503108E-2</v>
      </c>
      <c r="X299">
        <f t="shared" si="102"/>
        <v>4.6360672020568927E-3</v>
      </c>
    </row>
    <row r="300" spans="2:24" x14ac:dyDescent="0.25">
      <c r="B300">
        <f t="shared" si="91"/>
        <v>285</v>
      </c>
      <c r="C300">
        <f t="shared" si="92"/>
        <v>294.71641293443361</v>
      </c>
      <c r="D300">
        <f t="shared" si="93"/>
        <v>9.4582461485481051E-2</v>
      </c>
      <c r="F300">
        <f t="shared" si="89"/>
        <v>285</v>
      </c>
      <c r="G300">
        <f t="shared" si="90"/>
        <v>294.66967386884949</v>
      </c>
      <c r="H300">
        <f t="shared" si="83"/>
        <v>9.5413449997288721E-2</v>
      </c>
      <c r="I300">
        <f t="shared" si="84"/>
        <v>294.76508731884678</v>
      </c>
      <c r="J300">
        <f t="shared" si="85"/>
        <v>9.3716957366922066E-2</v>
      </c>
      <c r="L300">
        <f t="shared" si="94"/>
        <v>285</v>
      </c>
      <c r="M300">
        <f t="shared" si="95"/>
        <v>294.67423338138263</v>
      </c>
      <c r="N300">
        <f t="shared" si="96"/>
        <v>9.5332389423460964E-2</v>
      </c>
      <c r="O300">
        <f t="shared" si="97"/>
        <v>9.448490616176794E-2</v>
      </c>
      <c r="P300">
        <f t="shared" si="98"/>
        <v>9.4492440556325441E-2</v>
      </c>
      <c r="Q300">
        <f t="shared" si="99"/>
        <v>9.365225489956211E-2</v>
      </c>
      <c r="S300">
        <f t="shared" si="100"/>
        <v>285</v>
      </c>
      <c r="T300">
        <f t="shared" si="86"/>
        <v>294.71641293443361</v>
      </c>
      <c r="U300">
        <f t="shared" si="87"/>
        <v>294.66967386884949</v>
      </c>
      <c r="V300">
        <f t="shared" si="88"/>
        <v>294.67423338138263</v>
      </c>
      <c r="W300">
        <f t="shared" si="101"/>
        <v>4.2179553050971208E-2</v>
      </c>
      <c r="X300">
        <f t="shared" si="102"/>
        <v>4.5595125331487907E-3</v>
      </c>
    </row>
    <row r="301" spans="2:24" x14ac:dyDescent="0.25">
      <c r="B301">
        <f t="shared" si="91"/>
        <v>286</v>
      </c>
      <c r="C301">
        <f t="shared" si="92"/>
        <v>294.81099539591906</v>
      </c>
      <c r="D301">
        <f t="shared" si="93"/>
        <v>9.2900542385491586E-2</v>
      </c>
      <c r="F301">
        <f t="shared" si="89"/>
        <v>286</v>
      </c>
      <c r="G301">
        <f t="shared" si="90"/>
        <v>294.76423907253161</v>
      </c>
      <c r="H301">
        <f t="shared" si="83"/>
        <v>9.3732041402651081E-2</v>
      </c>
      <c r="I301">
        <f t="shared" si="84"/>
        <v>294.85797111393424</v>
      </c>
      <c r="J301">
        <f t="shared" si="85"/>
        <v>9.2065040353245045E-2</v>
      </c>
      <c r="L301">
        <f t="shared" si="94"/>
        <v>286</v>
      </c>
      <c r="M301">
        <f t="shared" si="95"/>
        <v>294.76872327100915</v>
      </c>
      <c r="N301">
        <f t="shared" si="96"/>
        <v>9.3652300262235894E-2</v>
      </c>
      <c r="O301">
        <f t="shared" si="97"/>
        <v>9.2819549724516212E-2</v>
      </c>
      <c r="P301">
        <f t="shared" si="98"/>
        <v>9.2826954936385514E-2</v>
      </c>
      <c r="Q301">
        <f t="shared" si="99"/>
        <v>9.2001378718021026E-2</v>
      </c>
      <c r="S301">
        <f t="shared" si="100"/>
        <v>286</v>
      </c>
      <c r="T301">
        <f t="shared" si="86"/>
        <v>294.81099539591906</v>
      </c>
      <c r="U301">
        <f t="shared" si="87"/>
        <v>294.76423907253161</v>
      </c>
      <c r="V301">
        <f t="shared" si="88"/>
        <v>294.76872327100915</v>
      </c>
      <c r="W301">
        <f t="shared" si="101"/>
        <v>4.2272124909914055E-2</v>
      </c>
      <c r="X301">
        <f t="shared" si="102"/>
        <v>4.4841984775416677E-3</v>
      </c>
    </row>
    <row r="302" spans="2:24" x14ac:dyDescent="0.25">
      <c r="B302">
        <f t="shared" si="91"/>
        <v>287</v>
      </c>
      <c r="C302">
        <f t="shared" si="92"/>
        <v>294.90389593830457</v>
      </c>
      <c r="D302">
        <f t="shared" si="93"/>
        <v>9.1248131127329435E-2</v>
      </c>
      <c r="F302">
        <f t="shared" si="89"/>
        <v>287</v>
      </c>
      <c r="G302">
        <f t="shared" si="90"/>
        <v>294.85713761340958</v>
      </c>
      <c r="H302">
        <f t="shared" si="83"/>
        <v>9.2079865735403596E-2</v>
      </c>
      <c r="I302">
        <f t="shared" si="84"/>
        <v>294.94921747914498</v>
      </c>
      <c r="J302">
        <f t="shared" si="85"/>
        <v>9.0441857915759025E-2</v>
      </c>
      <c r="L302">
        <f t="shared" si="94"/>
        <v>287</v>
      </c>
      <c r="M302">
        <f t="shared" si="95"/>
        <v>294.8615477190595</v>
      </c>
      <c r="N302">
        <f t="shared" si="96"/>
        <v>9.2001423308188002E-2</v>
      </c>
      <c r="O302">
        <f t="shared" si="97"/>
        <v>9.1183156547992916E-2</v>
      </c>
      <c r="P302">
        <f t="shared" si="98"/>
        <v>9.11904346961257E-2</v>
      </c>
      <c r="Q302">
        <f t="shared" si="99"/>
        <v>9.0379220924486053E-2</v>
      </c>
      <c r="S302">
        <f t="shared" si="100"/>
        <v>287</v>
      </c>
      <c r="T302">
        <f t="shared" si="86"/>
        <v>294.90389593830457</v>
      </c>
      <c r="U302">
        <f t="shared" si="87"/>
        <v>294.85713761340958</v>
      </c>
      <c r="V302">
        <f t="shared" si="88"/>
        <v>294.8615477190595</v>
      </c>
      <c r="W302">
        <f t="shared" si="101"/>
        <v>4.2348219245070595E-2</v>
      </c>
      <c r="X302">
        <f t="shared" si="102"/>
        <v>4.4101056499243896E-3</v>
      </c>
    </row>
    <row r="303" spans="2:24" x14ac:dyDescent="0.25">
      <c r="B303">
        <f t="shared" si="91"/>
        <v>288</v>
      </c>
      <c r="C303">
        <f t="shared" si="92"/>
        <v>294.99514406943189</v>
      </c>
      <c r="D303">
        <f t="shared" si="93"/>
        <v>8.9624724408011613E-2</v>
      </c>
      <c r="F303">
        <f t="shared" si="89"/>
        <v>288</v>
      </c>
      <c r="G303">
        <f t="shared" si="90"/>
        <v>294.94839847523514</v>
      </c>
      <c r="H303">
        <f t="shared" si="83"/>
        <v>9.045642888822937E-2</v>
      </c>
      <c r="I303">
        <f t="shared" si="84"/>
        <v>295.03885490412335</v>
      </c>
      <c r="J303">
        <f t="shared" si="85"/>
        <v>8.8846923853985169E-2</v>
      </c>
      <c r="L303">
        <f t="shared" si="94"/>
        <v>288</v>
      </c>
      <c r="M303">
        <f t="shared" si="95"/>
        <v>294.95273569017968</v>
      </c>
      <c r="N303">
        <f t="shared" si="96"/>
        <v>9.0379264754633107E-2</v>
      </c>
      <c r="O303">
        <f t="shared" si="97"/>
        <v>8.957523677469012E-2</v>
      </c>
      <c r="P303">
        <f t="shared" si="98"/>
        <v>8.9582389946742474E-2</v>
      </c>
      <c r="Q303">
        <f t="shared" si="99"/>
        <v>8.8785295553041002E-2</v>
      </c>
      <c r="S303">
        <f t="shared" si="100"/>
        <v>288</v>
      </c>
      <c r="T303">
        <f t="shared" si="86"/>
        <v>294.99514406943189</v>
      </c>
      <c r="U303">
        <f t="shared" si="87"/>
        <v>294.94839847523514</v>
      </c>
      <c r="V303">
        <f t="shared" si="88"/>
        <v>294.95273569017968</v>
      </c>
      <c r="W303">
        <f t="shared" si="101"/>
        <v>4.2408379252208306E-2</v>
      </c>
      <c r="X303">
        <f t="shared" si="102"/>
        <v>4.3372149445417563E-3</v>
      </c>
    </row>
    <row r="304" spans="2:24" x14ac:dyDescent="0.25">
      <c r="B304">
        <f t="shared" si="91"/>
        <v>289</v>
      </c>
      <c r="C304">
        <f t="shared" si="92"/>
        <v>295.08476879383988</v>
      </c>
      <c r="D304">
        <f t="shared" si="93"/>
        <v>8.8029826988201429E-2</v>
      </c>
      <c r="F304">
        <f t="shared" si="89"/>
        <v>289</v>
      </c>
      <c r="G304">
        <f t="shared" si="90"/>
        <v>295.03805015160623</v>
      </c>
      <c r="H304">
        <f t="shared" si="83"/>
        <v>8.8861244597915667E-2</v>
      </c>
      <c r="I304">
        <f t="shared" si="84"/>
        <v>295.12691139620415</v>
      </c>
      <c r="J304">
        <f t="shared" si="85"/>
        <v>8.7279759704977172E-2</v>
      </c>
      <c r="L304">
        <f t="shared" si="94"/>
        <v>289</v>
      </c>
      <c r="M304">
        <f t="shared" si="95"/>
        <v>295.04231565913813</v>
      </c>
      <c r="N304">
        <f t="shared" si="96"/>
        <v>8.8785338635477551E-2</v>
      </c>
      <c r="O304">
        <f t="shared" si="97"/>
        <v>8.7995308334502365E-2</v>
      </c>
      <c r="P304">
        <f t="shared" si="98"/>
        <v>8.8002338587165801E-2</v>
      </c>
      <c r="Q304">
        <f t="shared" si="99"/>
        <v>8.7219124372477141E-2</v>
      </c>
      <c r="S304">
        <f t="shared" si="100"/>
        <v>289</v>
      </c>
      <c r="T304">
        <f t="shared" si="86"/>
        <v>295.08476879383988</v>
      </c>
      <c r="U304">
        <f t="shared" si="87"/>
        <v>295.03805015160623</v>
      </c>
      <c r="V304">
        <f t="shared" si="88"/>
        <v>295.04231565913813</v>
      </c>
      <c r="W304">
        <f t="shared" si="101"/>
        <v>4.2453134701759154E-2</v>
      </c>
      <c r="X304">
        <f t="shared" si="102"/>
        <v>4.2655075318975832E-3</v>
      </c>
    </row>
    <row r="305" spans="2:24" x14ac:dyDescent="0.25">
      <c r="B305">
        <f t="shared" si="91"/>
        <v>290</v>
      </c>
      <c r="C305">
        <f t="shared" si="92"/>
        <v>295.17279862082808</v>
      </c>
      <c r="D305">
        <f t="shared" si="93"/>
        <v>8.6462951582321049E-2</v>
      </c>
      <c r="F305">
        <f t="shared" si="89"/>
        <v>290</v>
      </c>
      <c r="G305">
        <f t="shared" si="90"/>
        <v>295.12612065375765</v>
      </c>
      <c r="H305">
        <f t="shared" si="83"/>
        <v>8.729383433944933E-2</v>
      </c>
      <c r="I305">
        <f t="shared" si="84"/>
        <v>295.2134144880971</v>
      </c>
      <c r="J305">
        <f t="shared" si="85"/>
        <v>8.5739894638124772E-2</v>
      </c>
      <c r="L305">
        <f t="shared" si="94"/>
        <v>290</v>
      </c>
      <c r="M305">
        <f t="shared" si="95"/>
        <v>295.13031561861334</v>
      </c>
      <c r="N305">
        <f t="shared" si="96"/>
        <v>8.7219166719336036E-2</v>
      </c>
      <c r="O305">
        <f t="shared" si="97"/>
        <v>8.6442896839180258E-2</v>
      </c>
      <c r="P305">
        <f t="shared" si="98"/>
        <v>8.6449806198513418E-2</v>
      </c>
      <c r="Q305">
        <f t="shared" si="99"/>
        <v>8.5680236781108171E-2</v>
      </c>
      <c r="S305">
        <f t="shared" si="100"/>
        <v>290</v>
      </c>
      <c r="T305">
        <f t="shared" si="86"/>
        <v>295.17279862082808</v>
      </c>
      <c r="U305">
        <f t="shared" si="87"/>
        <v>295.12612065375765</v>
      </c>
      <c r="V305">
        <f t="shared" si="88"/>
        <v>295.13031561861334</v>
      </c>
      <c r="W305">
        <f t="shared" si="101"/>
        <v>4.2483002214737553E-2</v>
      </c>
      <c r="X305">
        <f t="shared" si="102"/>
        <v>4.1949648556851571E-3</v>
      </c>
    </row>
    <row r="306" spans="2:24" x14ac:dyDescent="0.25">
      <c r="B306">
        <f t="shared" si="91"/>
        <v>291</v>
      </c>
      <c r="C306">
        <f t="shared" si="92"/>
        <v>295.25926157241042</v>
      </c>
      <c r="D306">
        <f t="shared" si="93"/>
        <v>8.49236187493706E-2</v>
      </c>
      <c r="F306">
        <f t="shared" si="89"/>
        <v>291</v>
      </c>
      <c r="G306">
        <f t="shared" si="90"/>
        <v>295.21263751824642</v>
      </c>
      <c r="H306">
        <f t="shared" si="83"/>
        <v>8.5753727220830148E-2</v>
      </c>
      <c r="I306">
        <f t="shared" si="84"/>
        <v>295.29839124546726</v>
      </c>
      <c r="J306">
        <f t="shared" si="85"/>
        <v>8.422686535070989E-2</v>
      </c>
      <c r="L306">
        <f t="shared" si="94"/>
        <v>291</v>
      </c>
      <c r="M306">
        <f t="shared" si="95"/>
        <v>295.21676308687597</v>
      </c>
      <c r="N306">
        <f t="shared" si="96"/>
        <v>8.5680278404348595E-2</v>
      </c>
      <c r="O306">
        <f t="shared" si="97"/>
        <v>8.4917535477514156E-2</v>
      </c>
      <c r="P306">
        <f t="shared" si="98"/>
        <v>8.4924325939290751E-2</v>
      </c>
      <c r="Q306">
        <f t="shared" si="99"/>
        <v>8.4168169702331125E-2</v>
      </c>
      <c r="S306">
        <f t="shared" si="100"/>
        <v>291</v>
      </c>
      <c r="T306">
        <f t="shared" si="86"/>
        <v>295.25926157241042</v>
      </c>
      <c r="U306">
        <f t="shared" si="87"/>
        <v>295.21263751824642</v>
      </c>
      <c r="V306">
        <f t="shared" si="88"/>
        <v>295.21676308687597</v>
      </c>
      <c r="W306">
        <f t="shared" si="101"/>
        <v>4.2498485534451902E-2</v>
      </c>
      <c r="X306">
        <f t="shared" si="102"/>
        <v>4.1255686295471605E-3</v>
      </c>
    </row>
    <row r="307" spans="2:24" x14ac:dyDescent="0.25">
      <c r="B307">
        <f t="shared" si="91"/>
        <v>292</v>
      </c>
      <c r="C307">
        <f t="shared" si="92"/>
        <v>295.3441851911598</v>
      </c>
      <c r="D307">
        <f t="shared" si="93"/>
        <v>8.3411356784554316E-2</v>
      </c>
      <c r="F307">
        <f t="shared" si="89"/>
        <v>292</v>
      </c>
      <c r="G307">
        <f t="shared" si="90"/>
        <v>295.29762781453218</v>
      </c>
      <c r="H307">
        <f t="shared" si="83"/>
        <v>8.4240459878622526E-2</v>
      </c>
      <c r="I307">
        <f t="shared" si="84"/>
        <v>295.38186827441081</v>
      </c>
      <c r="J307">
        <f t="shared" si="85"/>
        <v>8.274021596420042E-2</v>
      </c>
      <c r="L307">
        <f t="shared" si="94"/>
        <v>292</v>
      </c>
      <c r="M307">
        <f t="shared" si="95"/>
        <v>295.30168511536601</v>
      </c>
      <c r="N307">
        <f t="shared" si="96"/>
        <v>8.4168210613739566E-2</v>
      </c>
      <c r="O307">
        <f t="shared" si="97"/>
        <v>8.3418764911279045E-2</v>
      </c>
      <c r="P307">
        <f t="shared" si="98"/>
        <v>8.3425438441312436E-2</v>
      </c>
      <c r="Q307">
        <f t="shared" si="99"/>
        <v>8.2682467480950178E-2</v>
      </c>
      <c r="S307">
        <f t="shared" si="100"/>
        <v>292</v>
      </c>
      <c r="T307">
        <f t="shared" si="86"/>
        <v>295.3441851911598</v>
      </c>
      <c r="U307">
        <f t="shared" si="87"/>
        <v>295.29762781453218</v>
      </c>
      <c r="V307">
        <f t="shared" si="88"/>
        <v>295.30168511536601</v>
      </c>
      <c r="W307">
        <f t="shared" si="101"/>
        <v>4.2500075793782344E-2</v>
      </c>
      <c r="X307">
        <f t="shared" si="102"/>
        <v>4.0573008338355976E-3</v>
      </c>
    </row>
    <row r="308" spans="2:24" x14ac:dyDescent="0.25">
      <c r="B308">
        <f t="shared" si="91"/>
        <v>293</v>
      </c>
      <c r="C308">
        <f t="shared" si="92"/>
        <v>295.42759654794435</v>
      </c>
      <c r="D308">
        <f t="shared" si="93"/>
        <v>8.1925701611687135E-2</v>
      </c>
      <c r="F308">
        <f t="shared" si="89"/>
        <v>293</v>
      </c>
      <c r="G308">
        <f t="shared" si="90"/>
        <v>295.38111815245361</v>
      </c>
      <c r="H308">
        <f t="shared" si="83"/>
        <v>8.275357637426202E-2</v>
      </c>
      <c r="I308">
        <f t="shared" si="84"/>
        <v>295.46387172882788</v>
      </c>
      <c r="J308">
        <f t="shared" si="85"/>
        <v>8.1279497921352639E-2</v>
      </c>
      <c r="L308">
        <f t="shared" si="94"/>
        <v>293</v>
      </c>
      <c r="M308">
        <f t="shared" si="95"/>
        <v>295.38510829616598</v>
      </c>
      <c r="N308">
        <f t="shared" si="96"/>
        <v>8.2682507692138932E-2</v>
      </c>
      <c r="O308">
        <f t="shared" si="97"/>
        <v>8.1946133171943769E-2</v>
      </c>
      <c r="P308">
        <f t="shared" si="98"/>
        <v>8.1952691706429409E-2</v>
      </c>
      <c r="Q308">
        <f t="shared" si="99"/>
        <v>8.1222681780280331E-2</v>
      </c>
      <c r="S308">
        <f t="shared" si="100"/>
        <v>293</v>
      </c>
      <c r="T308">
        <f t="shared" si="86"/>
        <v>295.42759654794435</v>
      </c>
      <c r="U308">
        <f t="shared" si="87"/>
        <v>295.38111815245361</v>
      </c>
      <c r="V308">
        <f t="shared" si="88"/>
        <v>295.38510829616598</v>
      </c>
      <c r="W308">
        <f t="shared" si="101"/>
        <v>4.2488251778365793E-2</v>
      </c>
      <c r="X308">
        <f t="shared" si="102"/>
        <v>3.9901437123717187E-3</v>
      </c>
    </row>
    <row r="309" spans="2:24" x14ac:dyDescent="0.25">
      <c r="B309">
        <f t="shared" si="91"/>
        <v>294</v>
      </c>
      <c r="C309">
        <f t="shared" si="92"/>
        <v>295.50952224955603</v>
      </c>
      <c r="D309">
        <f t="shared" si="93"/>
        <v>8.0466196676439602E-2</v>
      </c>
      <c r="F309">
        <f t="shared" si="89"/>
        <v>294</v>
      </c>
      <c r="G309">
        <f t="shared" si="90"/>
        <v>295.46313468960142</v>
      </c>
      <c r="H309">
        <f t="shared" si="83"/>
        <v>8.129262809114543E-2</v>
      </c>
      <c r="I309">
        <f t="shared" si="84"/>
        <v>295.54442731769257</v>
      </c>
      <c r="J309">
        <f t="shared" si="85"/>
        <v>7.9844269884102051E-2</v>
      </c>
      <c r="L309">
        <f t="shared" si="94"/>
        <v>294</v>
      </c>
      <c r="M309">
        <f t="shared" si="95"/>
        <v>295.46705876937085</v>
      </c>
      <c r="N309">
        <f t="shared" si="96"/>
        <v>8.1222721302693049E-2</v>
      </c>
      <c r="O309">
        <f t="shared" si="97"/>
        <v>8.0499195558173198E-2</v>
      </c>
      <c r="P309">
        <f t="shared" si="98"/>
        <v>8.0505641004034789E-2</v>
      </c>
      <c r="Q309">
        <f t="shared" si="99"/>
        <v>7.9788371480063153E-2</v>
      </c>
      <c r="S309">
        <f t="shared" si="100"/>
        <v>294</v>
      </c>
      <c r="T309">
        <f t="shared" si="86"/>
        <v>295.50952224955603</v>
      </c>
      <c r="U309">
        <f t="shared" si="87"/>
        <v>295.46313468960142</v>
      </c>
      <c r="V309">
        <f t="shared" si="88"/>
        <v>295.46705876937085</v>
      </c>
      <c r="W309">
        <f t="shared" si="101"/>
        <v>4.246348018517665E-2</v>
      </c>
      <c r="X309">
        <f t="shared" si="102"/>
        <v>3.9240797694333196E-3</v>
      </c>
    </row>
    <row r="310" spans="2:24" x14ac:dyDescent="0.25">
      <c r="B310">
        <f t="shared" si="91"/>
        <v>295</v>
      </c>
      <c r="C310">
        <f t="shared" si="92"/>
        <v>295.58998844623244</v>
      </c>
      <c r="D310">
        <f t="shared" si="93"/>
        <v>7.9032392840416285E-2</v>
      </c>
      <c r="F310">
        <f t="shared" si="89"/>
        <v>295</v>
      </c>
      <c r="G310">
        <f t="shared" si="90"/>
        <v>295.54370313858902</v>
      </c>
      <c r="H310">
        <f t="shared" si="83"/>
        <v>7.9857173632537776E-2</v>
      </c>
      <c r="I310">
        <f t="shared" si="84"/>
        <v>295.62356031222157</v>
      </c>
      <c r="J310">
        <f t="shared" si="85"/>
        <v>7.8434097632299138E-2</v>
      </c>
      <c r="L310">
        <f t="shared" si="94"/>
        <v>295</v>
      </c>
      <c r="M310">
        <f t="shared" si="95"/>
        <v>295.54756223035537</v>
      </c>
      <c r="N310">
        <f t="shared" si="96"/>
        <v>7.978841032498063E-2</v>
      </c>
      <c r="O310">
        <f t="shared" si="97"/>
        <v>7.9077514534166074E-2</v>
      </c>
      <c r="P310">
        <f t="shared" si="98"/>
        <v>7.9083848769386733E-2</v>
      </c>
      <c r="Q310">
        <f t="shared" si="99"/>
        <v>7.8379102575224235E-2</v>
      </c>
      <c r="S310">
        <f t="shared" si="100"/>
        <v>295</v>
      </c>
      <c r="T310">
        <f t="shared" si="86"/>
        <v>295.58998844623244</v>
      </c>
      <c r="U310">
        <f t="shared" si="87"/>
        <v>295.54370313858902</v>
      </c>
      <c r="V310">
        <f t="shared" si="88"/>
        <v>295.54756223035537</v>
      </c>
      <c r="W310">
        <f t="shared" si="101"/>
        <v>4.2426215877071627E-2</v>
      </c>
      <c r="X310">
        <f t="shared" si="102"/>
        <v>3.859091766344136E-3</v>
      </c>
    </row>
    <row r="311" spans="2:24" x14ac:dyDescent="0.25">
      <c r="B311">
        <f t="shared" si="91"/>
        <v>296</v>
      </c>
      <c r="C311">
        <f t="shared" si="92"/>
        <v>295.66902083907286</v>
      </c>
      <c r="D311">
        <f t="shared" si="93"/>
        <v>7.7623848276133375E-2</v>
      </c>
      <c r="F311">
        <f t="shared" si="89"/>
        <v>296</v>
      </c>
      <c r="G311">
        <f t="shared" si="90"/>
        <v>295.62284877422144</v>
      </c>
      <c r="H311">
        <f t="shared" si="83"/>
        <v>7.8446778720292085E-2</v>
      </c>
      <c r="I311">
        <f t="shared" si="84"/>
        <v>295.70129555294176</v>
      </c>
      <c r="J311">
        <f t="shared" si="85"/>
        <v>7.704855396328017E-2</v>
      </c>
      <c r="L311">
        <f t="shared" si="94"/>
        <v>296</v>
      </c>
      <c r="M311">
        <f t="shared" si="95"/>
        <v>295.6266439369399</v>
      </c>
      <c r="N311">
        <f t="shared" si="96"/>
        <v>7.8379140753755849E-2</v>
      </c>
      <c r="O311">
        <f t="shared" si="97"/>
        <v>7.7680659628822091E-2</v>
      </c>
      <c r="P311">
        <f t="shared" si="98"/>
        <v>7.768688450278563E-2</v>
      </c>
      <c r="Q311">
        <f t="shared" si="99"/>
        <v>7.6994448075457758E-2</v>
      </c>
      <c r="S311">
        <f t="shared" si="100"/>
        <v>296</v>
      </c>
      <c r="T311">
        <f t="shared" si="86"/>
        <v>295.66902083907286</v>
      </c>
      <c r="U311">
        <f t="shared" si="87"/>
        <v>295.62284877422144</v>
      </c>
      <c r="V311">
        <f t="shared" si="88"/>
        <v>295.6266439369399</v>
      </c>
      <c r="W311">
        <f t="shared" si="101"/>
        <v>4.2376902132957639E-2</v>
      </c>
      <c r="X311">
        <f t="shared" si="102"/>
        <v>3.7951627184611425E-3</v>
      </c>
    </row>
    <row r="312" spans="2:24" x14ac:dyDescent="0.25">
      <c r="B312">
        <f t="shared" si="91"/>
        <v>297</v>
      </c>
      <c r="C312">
        <f t="shared" si="92"/>
        <v>295.74664468734898</v>
      </c>
      <c r="D312">
        <f t="shared" si="93"/>
        <v>7.6240128362853432E-2</v>
      </c>
      <c r="F312">
        <f t="shared" si="89"/>
        <v>297</v>
      </c>
      <c r="G312">
        <f t="shared" si="90"/>
        <v>295.70059644056323</v>
      </c>
      <c r="H312">
        <f t="shared" si="83"/>
        <v>7.7061016094445003E-2</v>
      </c>
      <c r="I312">
        <f t="shared" si="84"/>
        <v>295.77765745665766</v>
      </c>
      <c r="J312">
        <f t="shared" si="85"/>
        <v>7.5687218592328534E-2</v>
      </c>
      <c r="L312">
        <f t="shared" si="94"/>
        <v>297</v>
      </c>
      <c r="M312">
        <f t="shared" si="95"/>
        <v>295.70432871645528</v>
      </c>
      <c r="N312">
        <f t="shared" si="96"/>
        <v>7.6994485598547394E-2</v>
      </c>
      <c r="O312">
        <f t="shared" si="97"/>
        <v>7.630820733576478E-2</v>
      </c>
      <c r="P312">
        <f t="shared" si="98"/>
        <v>7.63143246695977E-2</v>
      </c>
      <c r="Q312">
        <f t="shared" si="99"/>
        <v>7.5633987905687233E-2</v>
      </c>
      <c r="S312">
        <f t="shared" si="100"/>
        <v>297</v>
      </c>
      <c r="T312">
        <f t="shared" si="86"/>
        <v>295.74664468734898</v>
      </c>
      <c r="U312">
        <f t="shared" si="87"/>
        <v>295.70059644056323</v>
      </c>
      <c r="V312">
        <f t="shared" si="88"/>
        <v>295.70432871645528</v>
      </c>
      <c r="W312">
        <f t="shared" si="101"/>
        <v>4.2315970893696431E-2</v>
      </c>
      <c r="X312">
        <f t="shared" si="102"/>
        <v>3.7322758920481647E-3</v>
      </c>
    </row>
    <row r="313" spans="2:24" x14ac:dyDescent="0.25">
      <c r="B313">
        <f t="shared" si="91"/>
        <v>298</v>
      </c>
      <c r="C313">
        <f t="shared" si="92"/>
        <v>295.8228848157118</v>
      </c>
      <c r="D313">
        <f t="shared" si="93"/>
        <v>7.4880805583358107E-2</v>
      </c>
      <c r="F313">
        <f t="shared" si="89"/>
        <v>298</v>
      </c>
      <c r="G313">
        <f t="shared" si="90"/>
        <v>295.77697055790662</v>
      </c>
      <c r="H313">
        <f t="shared" si="83"/>
        <v>7.5699465413641892E-2</v>
      </c>
      <c r="I313">
        <f t="shared" si="84"/>
        <v>295.85267002332029</v>
      </c>
      <c r="J313">
        <f t="shared" si="85"/>
        <v>7.4349678053975285E-2</v>
      </c>
      <c r="L313">
        <f t="shared" si="94"/>
        <v>298</v>
      </c>
      <c r="M313">
        <f t="shared" si="95"/>
        <v>295.78064097270777</v>
      </c>
      <c r="N313">
        <f t="shared" si="96"/>
        <v>7.5634024784123607E-2</v>
      </c>
      <c r="O313">
        <f t="shared" si="97"/>
        <v>7.4959741014243839E-2</v>
      </c>
      <c r="P313">
        <f t="shared" si="98"/>
        <v>7.4965752601152888E-2</v>
      </c>
      <c r="Q313">
        <f t="shared" si="99"/>
        <v>7.429730880742641E-2</v>
      </c>
      <c r="S313">
        <f t="shared" si="100"/>
        <v>298</v>
      </c>
      <c r="T313">
        <f t="shared" si="86"/>
        <v>295.8228848157118</v>
      </c>
      <c r="U313">
        <f t="shared" si="87"/>
        <v>295.77697055790662</v>
      </c>
      <c r="V313">
        <f t="shared" si="88"/>
        <v>295.78064097270777</v>
      </c>
      <c r="W313">
        <f t="shared" si="101"/>
        <v>4.2243843004030168E-2</v>
      </c>
      <c r="X313">
        <f t="shared" si="102"/>
        <v>3.6704148011494908E-3</v>
      </c>
    </row>
    <row r="314" spans="2:24" x14ac:dyDescent="0.25">
      <c r="B314">
        <f t="shared" si="91"/>
        <v>299</v>
      </c>
      <c r="C314">
        <f t="shared" si="92"/>
        <v>295.89776562129515</v>
      </c>
      <c r="D314">
        <f t="shared" si="93"/>
        <v>7.3545459421639481E-2</v>
      </c>
      <c r="F314">
        <f t="shared" si="89"/>
        <v>299</v>
      </c>
      <c r="G314">
        <f t="shared" si="90"/>
        <v>295.85199512964044</v>
      </c>
      <c r="H314">
        <f t="shared" si="83"/>
        <v>7.4361713156473094E-2</v>
      </c>
      <c r="I314">
        <f t="shared" si="84"/>
        <v>295.92635684279691</v>
      </c>
      <c r="J314">
        <f t="shared" si="85"/>
        <v>7.3035525604249918E-2</v>
      </c>
      <c r="L314">
        <f t="shared" si="94"/>
        <v>299</v>
      </c>
      <c r="M314">
        <f t="shared" si="95"/>
        <v>295.85560469284485</v>
      </c>
      <c r="N314">
        <f t="shared" si="96"/>
        <v>7.4297345051830388E-2</v>
      </c>
      <c r="O314">
        <f t="shared" si="97"/>
        <v>7.3634850790935791E-2</v>
      </c>
      <c r="P314">
        <f t="shared" si="98"/>
        <v>7.3640758396553097E-2</v>
      </c>
      <c r="Q314">
        <f t="shared" si="99"/>
        <v>7.298400424100783E-2</v>
      </c>
      <c r="S314">
        <f t="shared" si="100"/>
        <v>299</v>
      </c>
      <c r="T314">
        <f t="shared" si="86"/>
        <v>295.89776562129515</v>
      </c>
      <c r="U314">
        <f t="shared" si="87"/>
        <v>295.85199512964044</v>
      </c>
      <c r="V314">
        <f t="shared" si="88"/>
        <v>295.85560469284485</v>
      </c>
      <c r="W314">
        <f t="shared" si="101"/>
        <v>4.2160928450300617E-2</v>
      </c>
      <c r="X314">
        <f t="shared" si="102"/>
        <v>3.6095632044066406E-3</v>
      </c>
    </row>
    <row r="315" spans="2:24" x14ac:dyDescent="0.25">
      <c r="B315">
        <f t="shared" si="91"/>
        <v>300</v>
      </c>
      <c r="C315">
        <f t="shared" si="92"/>
        <v>295.97131108071682</v>
      </c>
      <c r="D315">
        <f t="shared" si="93"/>
        <v>7.2233676261525215E-2</v>
      </c>
      <c r="F315">
        <f t="shared" si="89"/>
        <v>300</v>
      </c>
      <c r="G315">
        <f t="shared" si="90"/>
        <v>295.92569374902081</v>
      </c>
      <c r="H315">
        <f t="shared" si="83"/>
        <v>7.3047352523708461E-2</v>
      </c>
      <c r="I315">
        <f t="shared" si="84"/>
        <v>295.99874110154451</v>
      </c>
      <c r="J315">
        <f t="shared" si="85"/>
        <v>7.1744361123801517E-2</v>
      </c>
      <c r="L315">
        <f t="shared" si="94"/>
        <v>300</v>
      </c>
      <c r="M315">
        <f t="shared" si="95"/>
        <v>295.9292434541228</v>
      </c>
      <c r="N315">
        <f t="shared" si="96"/>
        <v>7.2984039861845151E-2</v>
      </c>
      <c r="O315">
        <f t="shared" si="97"/>
        <v>7.2333133462644944E-2</v>
      </c>
      <c r="P315">
        <f t="shared" si="98"/>
        <v>7.2338938825353624E-2</v>
      </c>
      <c r="Q315">
        <f t="shared" si="99"/>
        <v>7.1693674288753798E-2</v>
      </c>
      <c r="S315">
        <f t="shared" si="100"/>
        <v>300</v>
      </c>
      <c r="T315">
        <f t="shared" si="86"/>
        <v>295.97131108071682</v>
      </c>
      <c r="U315">
        <f t="shared" si="87"/>
        <v>295.92569374902081</v>
      </c>
      <c r="V315">
        <f t="shared" si="88"/>
        <v>295.9292434541228</v>
      </c>
      <c r="W315">
        <f t="shared" si="101"/>
        <v>4.2067626594018748E-2</v>
      </c>
      <c r="X315">
        <f t="shared" si="102"/>
        <v>3.5497051019888204E-3</v>
      </c>
    </row>
    <row r="316" spans="2:24" x14ac:dyDescent="0.25">
      <c r="B316">
        <f t="shared" si="91"/>
        <v>301</v>
      </c>
      <c r="C316">
        <f t="shared" si="92"/>
        <v>296.04354475697835</v>
      </c>
      <c r="D316">
        <f t="shared" si="93"/>
        <v>7.0945049286276027E-2</v>
      </c>
      <c r="F316">
        <f t="shared" si="89"/>
        <v>301</v>
      </c>
      <c r="G316">
        <f t="shared" si="90"/>
        <v>295.99808960584454</v>
      </c>
      <c r="H316">
        <f t="shared" si="83"/>
        <v>7.1755983341406537E-2</v>
      </c>
      <c r="I316">
        <f t="shared" si="84"/>
        <v>296.06984558918595</v>
      </c>
      <c r="J316">
        <f t="shared" si="85"/>
        <v>7.0475791021968506E-2</v>
      </c>
      <c r="L316">
        <f t="shared" si="94"/>
        <v>301</v>
      </c>
      <c r="M316">
        <f t="shared" si="95"/>
        <v>296.00158043057723</v>
      </c>
      <c r="N316">
        <f t="shared" si="96"/>
        <v>7.1693709296331662E-2</v>
      </c>
      <c r="O316">
        <f t="shared" si="97"/>
        <v>7.1054192399903848E-2</v>
      </c>
      <c r="P316">
        <f t="shared" si="98"/>
        <v>7.1059897231189606E-2</v>
      </c>
      <c r="Q316">
        <f t="shared" si="99"/>
        <v>7.0425925559046393E-2</v>
      </c>
      <c r="S316">
        <f t="shared" si="100"/>
        <v>301</v>
      </c>
      <c r="T316">
        <f t="shared" si="86"/>
        <v>296.04354475697835</v>
      </c>
      <c r="U316">
        <f t="shared" si="87"/>
        <v>295.99808960584454</v>
      </c>
      <c r="V316">
        <f t="shared" si="88"/>
        <v>296.00158043057723</v>
      </c>
      <c r="W316">
        <f t="shared" si="101"/>
        <v>4.1964326401114249E-2</v>
      </c>
      <c r="X316">
        <f t="shared" si="102"/>
        <v>3.490824732693909E-3</v>
      </c>
    </row>
    <row r="317" spans="2:24" x14ac:dyDescent="0.25">
      <c r="B317">
        <f t="shared" si="91"/>
        <v>302</v>
      </c>
      <c r="C317">
        <f t="shared" si="92"/>
        <v>296.1144898062646</v>
      </c>
      <c r="D317">
        <f t="shared" si="93"/>
        <v>6.9679178379146278E-2</v>
      </c>
      <c r="F317">
        <f t="shared" si="89"/>
        <v>302</v>
      </c>
      <c r="G317">
        <f t="shared" si="90"/>
        <v>296.06920549302623</v>
      </c>
      <c r="H317">
        <f t="shared" si="83"/>
        <v>7.0487211965002197E-2</v>
      </c>
      <c r="I317">
        <f t="shared" si="84"/>
        <v>296.13969270499126</v>
      </c>
      <c r="J317">
        <f t="shared" si="85"/>
        <v>6.9229428141763111E-2</v>
      </c>
      <c r="L317">
        <f t="shared" si="94"/>
        <v>302</v>
      </c>
      <c r="M317">
        <f t="shared" si="95"/>
        <v>296.07263839959683</v>
      </c>
      <c r="N317">
        <f t="shared" si="96"/>
        <v>7.0425959963519455E-2</v>
      </c>
      <c r="O317">
        <f t="shared" si="97"/>
        <v>6.9797637451547823E-2</v>
      </c>
      <c r="P317">
        <f t="shared" si="98"/>
        <v>6.9803243436328682E-2</v>
      </c>
      <c r="Q317">
        <f t="shared" si="99"/>
        <v>6.9180371091349155E-2</v>
      </c>
      <c r="S317">
        <f t="shared" si="100"/>
        <v>302</v>
      </c>
      <c r="T317">
        <f t="shared" si="86"/>
        <v>296.1144898062646</v>
      </c>
      <c r="U317">
        <f t="shared" si="87"/>
        <v>296.06920549302623</v>
      </c>
      <c r="V317">
        <f t="shared" si="88"/>
        <v>296.07263839959683</v>
      </c>
      <c r="W317">
        <f t="shared" si="101"/>
        <v>4.1851406667774427E-2</v>
      </c>
      <c r="X317">
        <f t="shared" si="102"/>
        <v>3.4329065705946959E-3</v>
      </c>
    </row>
    <row r="318" spans="2:24" x14ac:dyDescent="0.25">
      <c r="B318">
        <f t="shared" si="91"/>
        <v>303</v>
      </c>
      <c r="C318">
        <f t="shared" si="92"/>
        <v>296.18416898464375</v>
      </c>
      <c r="D318">
        <f t="shared" si="93"/>
        <v>6.8435670024919584E-2</v>
      </c>
      <c r="F318">
        <f t="shared" si="89"/>
        <v>303</v>
      </c>
      <c r="G318">
        <f t="shared" si="90"/>
        <v>296.13906381307959</v>
      </c>
      <c r="H318">
        <f t="shared" si="83"/>
        <v>6.9240651184282978E-2</v>
      </c>
      <c r="I318">
        <f t="shared" si="84"/>
        <v>296.20830446426385</v>
      </c>
      <c r="J318">
        <f t="shared" si="85"/>
        <v>6.8004891665832651E-2</v>
      </c>
      <c r="L318">
        <f t="shared" si="94"/>
        <v>303</v>
      </c>
      <c r="M318">
        <f t="shared" si="95"/>
        <v>296.14243974840196</v>
      </c>
      <c r="N318">
        <f t="shared" si="96"/>
        <v>6.9180404902713669E-2</v>
      </c>
      <c r="O318">
        <f t="shared" si="97"/>
        <v>6.856308485017984E-2</v>
      </c>
      <c r="P318">
        <f t="shared" si="98"/>
        <v>6.8568593647141907E-2</v>
      </c>
      <c r="Q318">
        <f t="shared" si="99"/>
        <v>6.7956630262173967E-2</v>
      </c>
      <c r="S318">
        <f t="shared" si="100"/>
        <v>303</v>
      </c>
      <c r="T318">
        <f t="shared" si="86"/>
        <v>296.18416898464375</v>
      </c>
      <c r="U318">
        <f t="shared" si="87"/>
        <v>296.13906381307959</v>
      </c>
      <c r="V318">
        <f t="shared" si="88"/>
        <v>296.14243974840196</v>
      </c>
      <c r="W318">
        <f t="shared" si="101"/>
        <v>4.1729236241792478E-2</v>
      </c>
      <c r="X318">
        <f t="shared" si="102"/>
        <v>3.3759353223672406E-3</v>
      </c>
    </row>
    <row r="319" spans="2:24" x14ac:dyDescent="0.25">
      <c r="B319">
        <f t="shared" si="91"/>
        <v>304</v>
      </c>
      <c r="C319">
        <f t="shared" si="92"/>
        <v>296.25260465466869</v>
      </c>
      <c r="D319">
        <f t="shared" si="93"/>
        <v>6.7214137212451286E-2</v>
      </c>
      <c r="F319">
        <f t="shared" si="89"/>
        <v>304</v>
      </c>
      <c r="G319">
        <f t="shared" si="90"/>
        <v>296.20768658450464</v>
      </c>
      <c r="H319">
        <f t="shared" si="83"/>
        <v>6.801592012932943E-2</v>
      </c>
      <c r="I319">
        <f t="shared" si="84"/>
        <v>296.27570250463395</v>
      </c>
      <c r="J319">
        <f t="shared" si="85"/>
        <v>6.6801807023331911E-2</v>
      </c>
      <c r="L319">
        <f t="shared" si="94"/>
        <v>304</v>
      </c>
      <c r="M319">
        <f t="shared" si="95"/>
        <v>296.21100648042852</v>
      </c>
      <c r="N319">
        <f t="shared" si="96"/>
        <v>6.7956663490278818E-2</v>
      </c>
      <c r="O319">
        <f t="shared" si="97"/>
        <v>6.7350157118627726E-2</v>
      </c>
      <c r="P319">
        <f t="shared" si="98"/>
        <v>6.7355570360560515E-2</v>
      </c>
      <c r="Q319">
        <f t="shared" si="99"/>
        <v>6.6754328691989745E-2</v>
      </c>
      <c r="S319">
        <f t="shared" si="100"/>
        <v>304</v>
      </c>
      <c r="T319">
        <f t="shared" si="86"/>
        <v>296.25260465466869</v>
      </c>
      <c r="U319">
        <f t="shared" si="87"/>
        <v>296.20768658450464</v>
      </c>
      <c r="V319">
        <f t="shared" si="88"/>
        <v>296.21100648042852</v>
      </c>
      <c r="W319">
        <f t="shared" si="101"/>
        <v>4.1598174240164099E-2</v>
      </c>
      <c r="X319">
        <f t="shared" si="102"/>
        <v>3.3198959238802672E-3</v>
      </c>
    </row>
    <row r="320" spans="2:24" x14ac:dyDescent="0.25">
      <c r="B320">
        <f t="shared" si="91"/>
        <v>305</v>
      </c>
      <c r="C320">
        <f t="shared" si="92"/>
        <v>296.31981879188112</v>
      </c>
      <c r="D320">
        <f t="shared" si="93"/>
        <v>6.6014199338201726E-2</v>
      </c>
      <c r="F320">
        <f t="shared" si="89"/>
        <v>305</v>
      </c>
      <c r="G320">
        <f t="shared" si="90"/>
        <v>296.27509544808095</v>
      </c>
      <c r="H320">
        <f t="shared" si="83"/>
        <v>6.6812644177421346E-2</v>
      </c>
      <c r="I320">
        <f t="shared" si="84"/>
        <v>296.34190809225839</v>
      </c>
      <c r="J320">
        <f t="shared" si="85"/>
        <v>6.5619805797799677E-2</v>
      </c>
      <c r="L320">
        <f t="shared" si="94"/>
        <v>305</v>
      </c>
      <c r="M320">
        <f t="shared" si="95"/>
        <v>296.27836022161864</v>
      </c>
      <c r="N320">
        <f t="shared" si="96"/>
        <v>6.6754361346530275E-2</v>
      </c>
      <c r="O320">
        <f t="shared" si="97"/>
        <v>6.6158482977328972E-2</v>
      </c>
      <c r="P320">
        <f t="shared" si="98"/>
        <v>6.6163802271463526E-2</v>
      </c>
      <c r="Q320">
        <f t="shared" si="99"/>
        <v>6.5573098153107634E-2</v>
      </c>
      <c r="S320">
        <f t="shared" si="100"/>
        <v>305</v>
      </c>
      <c r="T320">
        <f t="shared" si="86"/>
        <v>296.31981879188112</v>
      </c>
      <c r="U320">
        <f t="shared" si="87"/>
        <v>296.27509544808095</v>
      </c>
      <c r="V320">
        <f t="shared" si="88"/>
        <v>296.27836022161864</v>
      </c>
      <c r="W320">
        <f t="shared" si="101"/>
        <v>4.1458570262477679E-2</v>
      </c>
      <c r="X320">
        <f t="shared" si="102"/>
        <v>3.2647735376940545E-3</v>
      </c>
    </row>
    <row r="321" spans="2:24" x14ac:dyDescent="0.25">
      <c r="B321">
        <f t="shared" si="91"/>
        <v>306</v>
      </c>
      <c r="C321">
        <f t="shared" si="92"/>
        <v>296.38583299121933</v>
      </c>
      <c r="D321">
        <f t="shared" si="93"/>
        <v>6.4835482110787324E-2</v>
      </c>
      <c r="F321">
        <f t="shared" si="89"/>
        <v>306</v>
      </c>
      <c r="G321">
        <f t="shared" si="90"/>
        <v>296.34131167306856</v>
      </c>
      <c r="H321">
        <f t="shared" si="83"/>
        <v>6.5630454860878457E-2</v>
      </c>
      <c r="I321">
        <f t="shared" si="84"/>
        <v>296.40694212792943</v>
      </c>
      <c r="J321">
        <f t="shared" si="85"/>
        <v>6.445852563598084E-2</v>
      </c>
      <c r="L321">
        <f t="shared" si="94"/>
        <v>306</v>
      </c>
      <c r="M321">
        <f t="shared" si="95"/>
        <v>296.34452222661815</v>
      </c>
      <c r="N321">
        <f t="shared" si="96"/>
        <v>6.5573130243632344E-2</v>
      </c>
      <c r="O321">
        <f t="shared" si="97"/>
        <v>6.4987697252712848E-2</v>
      </c>
      <c r="P321">
        <f t="shared" si="98"/>
        <v>6.4992924181042536E-2</v>
      </c>
      <c r="Q321">
        <f t="shared" si="99"/>
        <v>6.441257647853299E-2</v>
      </c>
      <c r="S321">
        <f t="shared" si="100"/>
        <v>306</v>
      </c>
      <c r="T321">
        <f t="shared" si="86"/>
        <v>296.38583299121933</v>
      </c>
      <c r="U321">
        <f t="shared" si="87"/>
        <v>296.34131167306856</v>
      </c>
      <c r="V321">
        <f t="shared" si="88"/>
        <v>296.34452222661815</v>
      </c>
      <c r="W321">
        <f t="shared" si="101"/>
        <v>4.1310764601178107E-2</v>
      </c>
      <c r="X321">
        <f t="shared" si="102"/>
        <v>3.2105535495929871E-3</v>
      </c>
    </row>
    <row r="322" spans="2:24" x14ac:dyDescent="0.25">
      <c r="B322">
        <f t="shared" si="91"/>
        <v>307</v>
      </c>
      <c r="C322">
        <f t="shared" si="92"/>
        <v>296.4506684733301</v>
      </c>
      <c r="D322">
        <f t="shared" si="93"/>
        <v>6.3677617456535121E-2</v>
      </c>
      <c r="F322">
        <f t="shared" si="89"/>
        <v>307</v>
      </c>
      <c r="G322">
        <f t="shared" si="90"/>
        <v>296.40635616331701</v>
      </c>
      <c r="H322">
        <f t="shared" si="83"/>
        <v>6.4468989775896032E-2</v>
      </c>
      <c r="I322">
        <f t="shared" si="84"/>
        <v>296.4708251530929</v>
      </c>
      <c r="J322">
        <f t="shared" si="85"/>
        <v>6.3317610157625673E-2</v>
      </c>
      <c r="L322">
        <f t="shared" si="94"/>
        <v>307</v>
      </c>
      <c r="M322">
        <f t="shared" si="95"/>
        <v>296.4095133848831</v>
      </c>
      <c r="N322">
        <f t="shared" si="96"/>
        <v>6.4412608014446954E-2</v>
      </c>
      <c r="O322">
        <f t="shared" si="97"/>
        <v>6.3837440786517166E-2</v>
      </c>
      <c r="P322">
        <f t="shared" si="98"/>
        <v>6.3842576906137871E-2</v>
      </c>
      <c r="Q322">
        <f t="shared" si="99"/>
        <v>6.3272407471788458E-2</v>
      </c>
      <c r="S322">
        <f t="shared" si="100"/>
        <v>307</v>
      </c>
      <c r="T322">
        <f t="shared" si="86"/>
        <v>296.4506684733301</v>
      </c>
      <c r="U322">
        <f t="shared" si="87"/>
        <v>296.40635616331701</v>
      </c>
      <c r="V322">
        <f t="shared" si="88"/>
        <v>296.4095133848831</v>
      </c>
      <c r="W322">
        <f t="shared" si="101"/>
        <v>4.1155088446998889E-2</v>
      </c>
      <c r="X322">
        <f t="shared" si="102"/>
        <v>3.1572215660844449E-3</v>
      </c>
    </row>
    <row r="323" spans="2:24" x14ac:dyDescent="0.25">
      <c r="B323">
        <f t="shared" si="91"/>
        <v>308</v>
      </c>
      <c r="C323">
        <f t="shared" si="92"/>
        <v>296.51434609078666</v>
      </c>
      <c r="D323">
        <f t="shared" si="93"/>
        <v>6.2540243426075587E-2</v>
      </c>
      <c r="F323">
        <f t="shared" si="89"/>
        <v>308</v>
      </c>
      <c r="G323">
        <f t="shared" si="90"/>
        <v>296.47024946328378</v>
      </c>
      <c r="H323">
        <f t="shared" si="83"/>
        <v>6.3327892492338778E-2</v>
      </c>
      <c r="I323">
        <f t="shared" si="84"/>
        <v>296.53357735577612</v>
      </c>
      <c r="J323">
        <f t="shared" si="85"/>
        <v>6.2196708866283042E-2</v>
      </c>
      <c r="L323">
        <f t="shared" si="94"/>
        <v>308</v>
      </c>
      <c r="M323">
        <f t="shared" si="95"/>
        <v>296.47335422669505</v>
      </c>
      <c r="N323">
        <f t="shared" si="96"/>
        <v>6.3272438462345482E-2</v>
      </c>
      <c r="O323">
        <f t="shared" si="97"/>
        <v>6.2707360346122787E-2</v>
      </c>
      <c r="P323">
        <f t="shared" si="98"/>
        <v>6.2712407189554717E-2</v>
      </c>
      <c r="Q323">
        <f t="shared" si="99"/>
        <v>6.2152240817715865E-2</v>
      </c>
      <c r="S323">
        <f t="shared" si="100"/>
        <v>308</v>
      </c>
      <c r="T323">
        <f t="shared" si="86"/>
        <v>296.51434609078666</v>
      </c>
      <c r="U323">
        <f t="shared" si="87"/>
        <v>296.47024946328378</v>
      </c>
      <c r="V323">
        <f t="shared" si="88"/>
        <v>296.47335422669505</v>
      </c>
      <c r="W323">
        <f t="shared" si="101"/>
        <v>4.0991864091608932E-2</v>
      </c>
      <c r="X323">
        <f t="shared" si="102"/>
        <v>3.1047634112724154E-3</v>
      </c>
    </row>
    <row r="324" spans="2:24" x14ac:dyDescent="0.25">
      <c r="B324">
        <f t="shared" si="91"/>
        <v>309</v>
      </c>
      <c r="C324">
        <f t="shared" si="92"/>
        <v>296.57688633421276</v>
      </c>
      <c r="D324">
        <f t="shared" si="93"/>
        <v>6.1423004101961047E-2</v>
      </c>
      <c r="F324">
        <f t="shared" si="89"/>
        <v>309</v>
      </c>
      <c r="G324">
        <f t="shared" si="90"/>
        <v>296.53301176396309</v>
      </c>
      <c r="H324">
        <f t="shared" si="83"/>
        <v>6.2206812464520735E-2</v>
      </c>
      <c r="I324">
        <f t="shared" si="84"/>
        <v>296.59521857642761</v>
      </c>
      <c r="J324">
        <f t="shared" si="85"/>
        <v>6.1095477061056856E-2</v>
      </c>
      <c r="L324">
        <f t="shared" si="94"/>
        <v>309</v>
      </c>
      <c r="M324">
        <f t="shared" si="95"/>
        <v>296.53606492908693</v>
      </c>
      <c r="N324">
        <f t="shared" si="96"/>
        <v>6.2152271272034057E-2</v>
      </c>
      <c r="O324">
        <f t="shared" si="97"/>
        <v>6.1597108535847343E-2</v>
      </c>
      <c r="P324">
        <f t="shared" si="98"/>
        <v>6.1602067611366836E-2</v>
      </c>
      <c r="Q324">
        <f t="shared" si="99"/>
        <v>6.1051731994283584E-2</v>
      </c>
      <c r="S324">
        <f t="shared" si="100"/>
        <v>309</v>
      </c>
      <c r="T324">
        <f t="shared" si="86"/>
        <v>296.57688633421276</v>
      </c>
      <c r="U324">
        <f t="shared" si="87"/>
        <v>296.53301176396309</v>
      </c>
      <c r="V324">
        <f t="shared" si="88"/>
        <v>296.53606492908693</v>
      </c>
      <c r="W324">
        <f t="shared" si="101"/>
        <v>4.0821405125825549E-2</v>
      </c>
      <c r="X324">
        <f t="shared" si="102"/>
        <v>3.0531651238447921E-3</v>
      </c>
    </row>
    <row r="325" spans="2:24" x14ac:dyDescent="0.25">
      <c r="B325">
        <f t="shared" si="91"/>
        <v>310</v>
      </c>
      <c r="C325">
        <f t="shared" si="92"/>
        <v>296.63830933831474</v>
      </c>
      <c r="D325">
        <f t="shared" si="93"/>
        <v>6.0325549507309749E-2</v>
      </c>
      <c r="F325">
        <f t="shared" si="89"/>
        <v>310</v>
      </c>
      <c r="G325">
        <f t="shared" si="90"/>
        <v>296.59466290872587</v>
      </c>
      <c r="H325">
        <f t="shared" si="83"/>
        <v>6.110540494297214E-2</v>
      </c>
      <c r="I325">
        <f t="shared" si="84"/>
        <v>296.65576831366883</v>
      </c>
      <c r="J325">
        <f t="shared" si="85"/>
        <v>6.0013575749374416E-2</v>
      </c>
      <c r="L325">
        <f t="shared" si="94"/>
        <v>310</v>
      </c>
      <c r="M325">
        <f t="shared" si="95"/>
        <v>296.59766532168038</v>
      </c>
      <c r="N325">
        <f t="shared" si="96"/>
        <v>6.1051761921335282E-2</v>
      </c>
      <c r="O325">
        <f t="shared" si="97"/>
        <v>6.0506343709221644E-2</v>
      </c>
      <c r="P325">
        <f t="shared" si="98"/>
        <v>6.0511216501181492E-2</v>
      </c>
      <c r="Q325">
        <f t="shared" si="99"/>
        <v>5.9970542185342243E-2</v>
      </c>
      <c r="S325">
        <f t="shared" si="100"/>
        <v>310</v>
      </c>
      <c r="T325">
        <f t="shared" si="86"/>
        <v>296.63830933831474</v>
      </c>
      <c r="U325">
        <f t="shared" si="87"/>
        <v>296.59466290872587</v>
      </c>
      <c r="V325">
        <f t="shared" si="88"/>
        <v>296.59766532168038</v>
      </c>
      <c r="W325">
        <f t="shared" si="101"/>
        <v>4.0644016634360014E-2</v>
      </c>
      <c r="X325">
        <f t="shared" si="102"/>
        <v>3.002412954515421E-3</v>
      </c>
    </row>
    <row r="326" spans="2:24" x14ac:dyDescent="0.25">
      <c r="B326">
        <f t="shared" si="91"/>
        <v>311</v>
      </c>
      <c r="C326">
        <f t="shared" si="92"/>
        <v>296.69863488782204</v>
      </c>
      <c r="D326">
        <f t="shared" si="93"/>
        <v>5.9247535515488739E-2</v>
      </c>
      <c r="F326">
        <f t="shared" si="89"/>
        <v>311</v>
      </c>
      <c r="G326">
        <f t="shared" si="90"/>
        <v>296.65522239907204</v>
      </c>
      <c r="H326">
        <f t="shared" si="83"/>
        <v>6.0023330887198655E-2</v>
      </c>
      <c r="I326">
        <f t="shared" si="84"/>
        <v>296.71524572995924</v>
      </c>
      <c r="J326">
        <f t="shared" si="85"/>
        <v>5.8950671560726461E-2</v>
      </c>
      <c r="L326">
        <f t="shared" si="94"/>
        <v>311</v>
      </c>
      <c r="M326">
        <f t="shared" si="95"/>
        <v>296.65817489243494</v>
      </c>
      <c r="N326">
        <f t="shared" si="96"/>
        <v>5.997057159396238E-2</v>
      </c>
      <c r="O326">
        <f t="shared" si="97"/>
        <v>5.9434729882287742E-2</v>
      </c>
      <c r="P326">
        <f t="shared" si="98"/>
        <v>5.9439517851437161E-2</v>
      </c>
      <c r="Q326">
        <f t="shared" si="99"/>
        <v>5.8908338194422837E-2</v>
      </c>
      <c r="S326">
        <f t="shared" si="100"/>
        <v>311</v>
      </c>
      <c r="T326">
        <f t="shared" si="86"/>
        <v>296.69863488782204</v>
      </c>
      <c r="U326">
        <f t="shared" si="87"/>
        <v>296.65522239907204</v>
      </c>
      <c r="V326">
        <f t="shared" si="88"/>
        <v>296.65817489243494</v>
      </c>
      <c r="W326">
        <f t="shared" si="101"/>
        <v>4.045999538709566E-2</v>
      </c>
      <c r="X326">
        <f t="shared" si="102"/>
        <v>2.9524933628977124E-3</v>
      </c>
    </row>
    <row r="327" spans="2:24" x14ac:dyDescent="0.25">
      <c r="B327">
        <f t="shared" si="91"/>
        <v>312</v>
      </c>
      <c r="C327">
        <f t="shared" si="92"/>
        <v>296.75788242333755</v>
      </c>
      <c r="D327">
        <f t="shared" si="93"/>
        <v>5.8188623760834446E-2</v>
      </c>
      <c r="F327">
        <f t="shared" si="89"/>
        <v>312</v>
      </c>
      <c r="G327">
        <f t="shared" si="90"/>
        <v>296.71470940029599</v>
      </c>
      <c r="H327">
        <f t="shared" si="83"/>
        <v>5.8960256879414204E-2</v>
      </c>
      <c r="I327">
        <f t="shared" si="84"/>
        <v>296.77366965717539</v>
      </c>
      <c r="J327">
        <f t="shared" si="85"/>
        <v>5.790643666141472E-2</v>
      </c>
      <c r="L327">
        <f t="shared" si="94"/>
        <v>312</v>
      </c>
      <c r="M327">
        <f t="shared" si="95"/>
        <v>296.71761279331093</v>
      </c>
      <c r="N327">
        <f t="shared" si="96"/>
        <v>5.8908367093308565E-2</v>
      </c>
      <c r="O327">
        <f t="shared" si="97"/>
        <v>5.8381936647845439E-2</v>
      </c>
      <c r="P327">
        <f t="shared" si="98"/>
        <v>5.8386641231657509E-2</v>
      </c>
      <c r="Q327">
        <f t="shared" si="99"/>
        <v>5.7864792359479354E-2</v>
      </c>
      <c r="S327">
        <f t="shared" si="100"/>
        <v>312</v>
      </c>
      <c r="T327">
        <f t="shared" si="86"/>
        <v>296.75788242333755</v>
      </c>
      <c r="U327">
        <f t="shared" si="87"/>
        <v>296.71470940029599</v>
      </c>
      <c r="V327">
        <f t="shared" si="88"/>
        <v>296.71761279331093</v>
      </c>
      <c r="W327">
        <f t="shared" si="101"/>
        <v>4.0269630026614323E-2</v>
      </c>
      <c r="X327">
        <f t="shared" si="102"/>
        <v>2.9033930149466869E-3</v>
      </c>
    </row>
    <row r="328" spans="2:24" x14ac:dyDescent="0.25">
      <c r="B328">
        <f t="shared" si="91"/>
        <v>313</v>
      </c>
      <c r="C328">
        <f t="shared" si="92"/>
        <v>296.81607104709838</v>
      </c>
      <c r="D328">
        <f t="shared" si="93"/>
        <v>5.7148481550427628E-2</v>
      </c>
      <c r="F328">
        <f t="shared" si="89"/>
        <v>313</v>
      </c>
      <c r="G328">
        <f t="shared" si="90"/>
        <v>296.7731427470664</v>
      </c>
      <c r="H328">
        <f t="shared" si="83"/>
        <v>5.7915855039288137E-2</v>
      </c>
      <c r="I328">
        <f t="shared" si="84"/>
        <v>296.83105860210571</v>
      </c>
      <c r="J328">
        <f t="shared" si="85"/>
        <v>5.6880548670282763E-2</v>
      </c>
      <c r="L328">
        <f t="shared" si="94"/>
        <v>313</v>
      </c>
      <c r="M328">
        <f t="shared" si="95"/>
        <v>296.77599784584623</v>
      </c>
      <c r="N328">
        <f t="shared" si="96"/>
        <v>5.7864820757191189E-2</v>
      </c>
      <c r="O328">
        <f t="shared" si="97"/>
        <v>5.7347639090726495E-2</v>
      </c>
      <c r="P328">
        <f t="shared" si="98"/>
        <v>5.7352261703710779E-2</v>
      </c>
      <c r="Q328">
        <f t="shared" si="99"/>
        <v>5.6839582468658743E-2</v>
      </c>
      <c r="S328">
        <f t="shared" si="100"/>
        <v>313</v>
      </c>
      <c r="T328">
        <f t="shared" si="86"/>
        <v>296.81607104709838</v>
      </c>
      <c r="U328">
        <f t="shared" si="87"/>
        <v>296.7731427470664</v>
      </c>
      <c r="V328">
        <f t="shared" si="88"/>
        <v>296.77599784584623</v>
      </c>
      <c r="W328">
        <f t="shared" si="101"/>
        <v>4.0073201252141644E-2</v>
      </c>
      <c r="X328">
        <f t="shared" si="102"/>
        <v>2.8550987798325878E-3</v>
      </c>
    </row>
    <row r="329" spans="2:24" x14ac:dyDescent="0.25">
      <c r="B329">
        <f t="shared" si="91"/>
        <v>314</v>
      </c>
      <c r="C329">
        <f t="shared" si="92"/>
        <v>296.8732195286488</v>
      </c>
      <c r="D329">
        <f t="shared" si="93"/>
        <v>5.6126781776884592E-2</v>
      </c>
      <c r="F329">
        <f t="shared" si="89"/>
        <v>314</v>
      </c>
      <c r="G329">
        <f t="shared" si="90"/>
        <v>296.83054094892117</v>
      </c>
      <c r="H329">
        <f t="shared" si="83"/>
        <v>5.6889802939661865E-2</v>
      </c>
      <c r="I329">
        <f t="shared" si="84"/>
        <v>296.88743075186085</v>
      </c>
      <c r="J329">
        <f t="shared" si="85"/>
        <v>5.5872690575449586E-2</v>
      </c>
      <c r="L329">
        <f t="shared" si="94"/>
        <v>314</v>
      </c>
      <c r="M329">
        <f t="shared" si="95"/>
        <v>296.83334854664866</v>
      </c>
      <c r="N329">
        <f t="shared" si="96"/>
        <v>5.6839610373625025E-2</v>
      </c>
      <c r="O329">
        <f t="shared" si="97"/>
        <v>5.6331517704051599E-2</v>
      </c>
      <c r="P329">
        <f t="shared" si="98"/>
        <v>5.633605973807599E-2</v>
      </c>
      <c r="Q329">
        <f t="shared" si="99"/>
        <v>5.5832391677050994E-2</v>
      </c>
      <c r="S329">
        <f t="shared" si="100"/>
        <v>314</v>
      </c>
      <c r="T329">
        <f t="shared" si="86"/>
        <v>296.8732195286488</v>
      </c>
      <c r="U329">
        <f t="shared" si="87"/>
        <v>296.83054094892117</v>
      </c>
      <c r="V329">
        <f t="shared" si="88"/>
        <v>296.83334854664866</v>
      </c>
      <c r="W329">
        <f t="shared" si="101"/>
        <v>3.9870982000138611E-2</v>
      </c>
      <c r="X329">
        <f t="shared" si="102"/>
        <v>2.8075977274966135E-3</v>
      </c>
    </row>
    <row r="330" spans="2:24" x14ac:dyDescent="0.25">
      <c r="B330">
        <f t="shared" si="91"/>
        <v>315</v>
      </c>
      <c r="C330">
        <f t="shared" si="92"/>
        <v>296.92934631042567</v>
      </c>
      <c r="D330">
        <f t="shared" si="93"/>
        <v>5.5123202832210484E-2</v>
      </c>
      <c r="F330">
        <f t="shared" si="89"/>
        <v>315</v>
      </c>
      <c r="G330">
        <f t="shared" si="90"/>
        <v>296.88692219567872</v>
      </c>
      <c r="H330">
        <f t="shared" si="83"/>
        <v>5.5881783523292865E-2</v>
      </c>
      <c r="I330">
        <f t="shared" si="84"/>
        <v>296.94280397920204</v>
      </c>
      <c r="J330">
        <f t="shared" si="85"/>
        <v>5.4882550652024041E-2</v>
      </c>
      <c r="L330">
        <f t="shared" si="94"/>
        <v>315</v>
      </c>
      <c r="M330">
        <f t="shared" si="95"/>
        <v>296.88968307280447</v>
      </c>
      <c r="N330">
        <f t="shared" si="96"/>
        <v>5.5832419097566845E-2</v>
      </c>
      <c r="O330">
        <f t="shared" si="97"/>
        <v>5.5333258306480053E-2</v>
      </c>
      <c r="P330">
        <f t="shared" si="98"/>
        <v>5.5337721131073318E-2</v>
      </c>
      <c r="Q330">
        <f t="shared" si="99"/>
        <v>5.484290842444222E-2</v>
      </c>
      <c r="S330">
        <f t="shared" si="100"/>
        <v>315</v>
      </c>
      <c r="T330">
        <f t="shared" si="86"/>
        <v>296.92934631042567</v>
      </c>
      <c r="U330">
        <f t="shared" si="87"/>
        <v>296.88692219567872</v>
      </c>
      <c r="V330">
        <f t="shared" si="88"/>
        <v>296.88968307280447</v>
      </c>
      <c r="W330">
        <f t="shared" si="101"/>
        <v>3.9663237621198277E-2</v>
      </c>
      <c r="X330">
        <f t="shared" si="102"/>
        <v>2.7608771257519038E-3</v>
      </c>
    </row>
    <row r="331" spans="2:24" x14ac:dyDescent="0.25">
      <c r="B331">
        <f t="shared" si="91"/>
        <v>316</v>
      </c>
      <c r="C331">
        <f t="shared" si="92"/>
        <v>296.98446951325786</v>
      </c>
      <c r="D331">
        <f t="shared" si="93"/>
        <v>5.4137428522692016E-2</v>
      </c>
      <c r="F331">
        <f t="shared" si="89"/>
        <v>316</v>
      </c>
      <c r="G331">
        <f t="shared" si="90"/>
        <v>296.94230436276638</v>
      </c>
      <c r="H331">
        <f t="shared" si="83"/>
        <v>5.4891485020558593E-2</v>
      </c>
      <c r="I331">
        <f t="shared" si="84"/>
        <v>296.99719584778694</v>
      </c>
      <c r="J331">
        <f t="shared" si="85"/>
        <v>5.390982238084166E-2</v>
      </c>
      <c r="L331">
        <f t="shared" si="94"/>
        <v>316</v>
      </c>
      <c r="M331">
        <f t="shared" si="95"/>
        <v>296.94501928720399</v>
      </c>
      <c r="N331">
        <f t="shared" si="96"/>
        <v>5.4842935368671457E-2</v>
      </c>
      <c r="O331">
        <f t="shared" si="97"/>
        <v>5.4352551960457123E-2</v>
      </c>
      <c r="P331">
        <f t="shared" si="98"/>
        <v>5.4356936923129158E-2</v>
      </c>
      <c r="Q331">
        <f t="shared" si="99"/>
        <v>5.3870826354046844E-2</v>
      </c>
      <c r="S331">
        <f t="shared" si="100"/>
        <v>316</v>
      </c>
      <c r="T331">
        <f t="shared" si="86"/>
        <v>296.98446951325786</v>
      </c>
      <c r="U331">
        <f t="shared" si="87"/>
        <v>296.94230436276638</v>
      </c>
      <c r="V331">
        <f t="shared" si="88"/>
        <v>296.94501928720399</v>
      </c>
      <c r="W331">
        <f t="shared" si="101"/>
        <v>3.9450226053872939E-2</v>
      </c>
      <c r="X331">
        <f t="shared" si="102"/>
        <v>2.7149244376118986E-3</v>
      </c>
    </row>
    <row r="332" spans="2:24" x14ac:dyDescent="0.25">
      <c r="B332">
        <f t="shared" si="91"/>
        <v>317</v>
      </c>
      <c r="C332">
        <f t="shared" si="92"/>
        <v>297.03860694178053</v>
      </c>
      <c r="D332">
        <f t="shared" si="93"/>
        <v>5.3169147984821093E-2</v>
      </c>
      <c r="F332">
        <f t="shared" si="89"/>
        <v>317</v>
      </c>
      <c r="G332">
        <f t="shared" si="90"/>
        <v>296.9967050164671</v>
      </c>
      <c r="H332">
        <f t="shared" si="83"/>
        <v>5.3918600868175279E-2</v>
      </c>
      <c r="I332">
        <f t="shared" si="84"/>
        <v>297.0506236173353</v>
      </c>
      <c r="J332">
        <f t="shared" si="85"/>
        <v>5.2954204368153381E-2</v>
      </c>
      <c r="L332">
        <f t="shared" si="94"/>
        <v>317</v>
      </c>
      <c r="M332">
        <f t="shared" si="95"/>
        <v>296.99937474378567</v>
      </c>
      <c r="N332">
        <f t="shared" si="96"/>
        <v>5.3870852830023554E-2</v>
      </c>
      <c r="O332">
        <f t="shared" si="97"/>
        <v>5.3389094891449496E-2</v>
      </c>
      <c r="P332">
        <f t="shared" si="98"/>
        <v>5.3393403317997114E-2</v>
      </c>
      <c r="Q332">
        <f t="shared" si="99"/>
        <v>5.2915844232249147E-2</v>
      </c>
      <c r="S332">
        <f t="shared" si="100"/>
        <v>317</v>
      </c>
      <c r="T332">
        <f t="shared" si="86"/>
        <v>297.03860694178053</v>
      </c>
      <c r="U332">
        <f t="shared" si="87"/>
        <v>296.9967050164671</v>
      </c>
      <c r="V332">
        <f t="shared" si="88"/>
        <v>296.99937474378567</v>
      </c>
      <c r="W332">
        <f t="shared" si="101"/>
        <v>3.9232197994863327E-2</v>
      </c>
      <c r="X332">
        <f t="shared" si="102"/>
        <v>2.6697273185618542E-3</v>
      </c>
    </row>
    <row r="333" spans="2:24" x14ac:dyDescent="0.25">
      <c r="B333">
        <f t="shared" si="91"/>
        <v>318</v>
      </c>
      <c r="C333">
        <f t="shared" si="92"/>
        <v>297.09177608976535</v>
      </c>
      <c r="D333">
        <f t="shared" si="93"/>
        <v>5.2218055602266555E-2</v>
      </c>
      <c r="F333">
        <f t="shared" si="89"/>
        <v>318</v>
      </c>
      <c r="G333">
        <f t="shared" si="90"/>
        <v>297.05014141908526</v>
      </c>
      <c r="H333">
        <f t="shared" si="83"/>
        <v>5.2962829628913542E-2</v>
      </c>
      <c r="I333">
        <f t="shared" si="84"/>
        <v>297.1031042487142</v>
      </c>
      <c r="J333">
        <f t="shared" si="85"/>
        <v>5.201540026635311E-2</v>
      </c>
      <c r="L333">
        <f t="shared" si="94"/>
        <v>318</v>
      </c>
      <c r="M333">
        <f t="shared" si="95"/>
        <v>297.05276669269921</v>
      </c>
      <c r="N333">
        <f t="shared" si="96"/>
        <v>5.2915870247884203E-2</v>
      </c>
      <c r="O333">
        <f t="shared" si="97"/>
        <v>5.2442588408187864E-2</v>
      </c>
      <c r="P333">
        <f t="shared" si="98"/>
        <v>5.2446821603001528E-2</v>
      </c>
      <c r="Q333">
        <f t="shared" si="99"/>
        <v>5.1977665869332425E-2</v>
      </c>
      <c r="S333">
        <f t="shared" si="100"/>
        <v>318</v>
      </c>
      <c r="T333">
        <f t="shared" si="86"/>
        <v>297.09177608976535</v>
      </c>
      <c r="U333">
        <f t="shared" si="87"/>
        <v>297.05014141908526</v>
      </c>
      <c r="V333">
        <f t="shared" si="88"/>
        <v>297.05276669269921</v>
      </c>
      <c r="W333">
        <f t="shared" si="101"/>
        <v>3.9009397066138263E-2</v>
      </c>
      <c r="X333">
        <f t="shared" si="102"/>
        <v>2.6252736139440458E-3</v>
      </c>
    </row>
    <row r="334" spans="2:24" x14ac:dyDescent="0.25">
      <c r="B334">
        <f t="shared" si="91"/>
        <v>319</v>
      </c>
      <c r="C334">
        <f t="shared" si="92"/>
        <v>297.14399414536763</v>
      </c>
      <c r="D334">
        <f t="shared" si="93"/>
        <v>5.1283850923880374E-2</v>
      </c>
      <c r="F334">
        <f t="shared" si="89"/>
        <v>319</v>
      </c>
      <c r="G334">
        <f t="shared" si="90"/>
        <v>297.10263053403293</v>
      </c>
      <c r="H334">
        <f t="shared" si="83"/>
        <v>5.2023874912273803E-2</v>
      </c>
      <c r="I334">
        <f t="shared" si="84"/>
        <v>297.15465440894519</v>
      </c>
      <c r="J334">
        <f t="shared" si="85"/>
        <v>5.1093118695641433E-2</v>
      </c>
      <c r="L334">
        <f t="shared" si="94"/>
        <v>319</v>
      </c>
      <c r="M334">
        <f t="shared" si="95"/>
        <v>297.10521208538916</v>
      </c>
      <c r="N334">
        <f t="shared" si="96"/>
        <v>5.1977691432408268E-2</v>
      </c>
      <c r="O334">
        <f t="shared" si="97"/>
        <v>5.1512738823876976E-2</v>
      </c>
      <c r="P334">
        <f t="shared" si="98"/>
        <v>5.1516898070239653E-2</v>
      </c>
      <c r="Q334">
        <f t="shared" si="99"/>
        <v>5.1056000041188612E-2</v>
      </c>
      <c r="S334">
        <f t="shared" si="100"/>
        <v>319</v>
      </c>
      <c r="T334">
        <f t="shared" si="86"/>
        <v>297.14399414536763</v>
      </c>
      <c r="U334">
        <f t="shared" si="87"/>
        <v>297.10263053403293</v>
      </c>
      <c r="V334">
        <f t="shared" si="88"/>
        <v>297.10521208538916</v>
      </c>
      <c r="W334">
        <f t="shared" si="101"/>
        <v>3.8782059978473171E-2</v>
      </c>
      <c r="X334">
        <f t="shared" si="102"/>
        <v>2.5815513562292836E-3</v>
      </c>
    </row>
    <row r="335" spans="2:24" x14ac:dyDescent="0.25">
      <c r="B335">
        <f t="shared" si="91"/>
        <v>320</v>
      </c>
      <c r="C335">
        <f t="shared" si="92"/>
        <v>297.19527799629151</v>
      </c>
      <c r="D335">
        <f t="shared" si="93"/>
        <v>5.0366238582737428E-2</v>
      </c>
      <c r="F335">
        <f t="shared" si="89"/>
        <v>320</v>
      </c>
      <c r="G335">
        <f t="shared" si="90"/>
        <v>297.1541890308369</v>
      </c>
      <c r="H335">
        <f t="shared" ref="H335:H398" si="103">0.3*(G335^(3/4))*(1-(G335/300)^(1/4))</f>
        <v>5.1101445296190741E-2</v>
      </c>
      <c r="I335">
        <f t="shared" ref="I335:I398" si="104">G335+$C$10*H335</f>
        <v>297.20529047613309</v>
      </c>
      <c r="J335">
        <f t="shared" ref="J335:J398" si="105">0.3*(I335^(3/4))*(1-(I335/300)^(1/4))</f>
        <v>5.0187073166720712E-2</v>
      </c>
      <c r="L335">
        <f t="shared" si="94"/>
        <v>320</v>
      </c>
      <c r="M335">
        <f t="shared" si="95"/>
        <v>297.15672757959948</v>
      </c>
      <c r="N335">
        <f t="shared" si="96"/>
        <v>5.1056025159365595E-2</v>
      </c>
      <c r="O335">
        <f t="shared" si="97"/>
        <v>5.0599257378413622E-2</v>
      </c>
      <c r="P335">
        <f t="shared" si="98"/>
        <v>5.0603343938805376E-2</v>
      </c>
      <c r="Q335">
        <f t="shared" si="99"/>
        <v>5.0150560412014322E-2</v>
      </c>
      <c r="S335">
        <f t="shared" si="100"/>
        <v>320</v>
      </c>
      <c r="T335">
        <f t="shared" ref="T335:T398" si="106">C335</f>
        <v>297.19527799629151</v>
      </c>
      <c r="U335">
        <f t="shared" ref="U335:U398" si="107">G335</f>
        <v>297.1541890308369</v>
      </c>
      <c r="V335">
        <f t="shared" ref="V335:V398" si="108">M335</f>
        <v>297.15672757959948</v>
      </c>
      <c r="W335">
        <f t="shared" si="101"/>
        <v>3.8550416692032741E-2</v>
      </c>
      <c r="X335">
        <f t="shared" si="102"/>
        <v>2.5385487625726455E-3</v>
      </c>
    </row>
    <row r="336" spans="2:24" x14ac:dyDescent="0.25">
      <c r="B336">
        <f t="shared" si="91"/>
        <v>321</v>
      </c>
      <c r="C336">
        <f t="shared" si="92"/>
        <v>297.24564423487425</v>
      </c>
      <c r="D336">
        <f t="shared" si="93"/>
        <v>4.9464928216211151E-2</v>
      </c>
      <c r="F336">
        <f t="shared" ref="F336:F399" si="109">F335+$C$10</f>
        <v>321</v>
      </c>
      <c r="G336">
        <f t="shared" ref="G336:G399" si="110">G335+$C$10/2*(H335+J335)</f>
        <v>297.20483329006834</v>
      </c>
      <c r="H336">
        <f t="shared" si="103"/>
        <v>5.019525424969732E-2</v>
      </c>
      <c r="I336">
        <f t="shared" si="104"/>
        <v>297.25502854431801</v>
      </c>
      <c r="J336">
        <f t="shared" si="105"/>
        <v>4.9296982004447723E-2</v>
      </c>
      <c r="L336">
        <f t="shared" si="94"/>
        <v>321</v>
      </c>
      <c r="M336">
        <f t="shared" si="95"/>
        <v>297.20732954430042</v>
      </c>
      <c r="N336">
        <f t="shared" si="96"/>
        <v>5.0150585092827889E-2</v>
      </c>
      <c r="O336">
        <f t="shared" si="97"/>
        <v>4.970186016157447E-2</v>
      </c>
      <c r="P336">
        <f t="shared" si="98"/>
        <v>4.9705875277968589E-2</v>
      </c>
      <c r="Q336">
        <f t="shared" si="99"/>
        <v>4.92610654580041E-2</v>
      </c>
      <c r="S336">
        <f t="shared" si="100"/>
        <v>321</v>
      </c>
      <c r="T336">
        <f t="shared" si="106"/>
        <v>297.24564423487425</v>
      </c>
      <c r="U336">
        <f t="shared" si="107"/>
        <v>297.20483329006834</v>
      </c>
      <c r="V336">
        <f t="shared" si="108"/>
        <v>297.20732954430042</v>
      </c>
      <c r="W336">
        <f t="shared" si="101"/>
        <v>3.8314690573827193E-2</v>
      </c>
      <c r="X336">
        <f t="shared" si="102"/>
        <v>2.4962542320849934E-3</v>
      </c>
    </row>
    <row r="337" spans="2:24" x14ac:dyDescent="0.25">
      <c r="B337">
        <f t="shared" ref="B337:B400" si="111">B336+$C$10</f>
        <v>322</v>
      </c>
      <c r="C337">
        <f t="shared" ref="C337:C400" si="112">C336+$C$10*D336</f>
        <v>297.29510916309044</v>
      </c>
      <c r="D337">
        <f t="shared" ref="D337:D400" si="113">0.3*(C337^(3/4))*(1-(C337/300)^(1/4))</f>
        <v>4.8579634387074487E-2</v>
      </c>
      <c r="F337">
        <f t="shared" si="109"/>
        <v>322</v>
      </c>
      <c r="G337">
        <f t="shared" si="110"/>
        <v>297.25457940819541</v>
      </c>
      <c r="H337">
        <f t="shared" si="103"/>
        <v>4.9305020056579427E-2</v>
      </c>
      <c r="I337">
        <f t="shared" si="104"/>
        <v>297.30388442825199</v>
      </c>
      <c r="J337">
        <f t="shared" si="105"/>
        <v>4.8422568272469747E-2</v>
      </c>
      <c r="L337">
        <f t="shared" ref="L337:L400" si="114">L336+$C$10</f>
        <v>322</v>
      </c>
      <c r="M337">
        <f t="shared" ref="M337:M400" si="115">M336 + (1/6)*(N336+2*O336+2*P336+Q336)</f>
        <v>297.25703406453874</v>
      </c>
      <c r="N337">
        <f t="shared" ref="N337:N400" si="116">$C$10*0.3*(M337^(3/4))*(1-(M337/300)^(1/4))</f>
        <v>4.92610897088736E-2</v>
      </c>
      <c r="O337">
        <f t="shared" ref="O337:O400" si="117">$C$10*0.3*((M337+N337/2)^(3/4))*(1-((M337+N337/2)/300)^(1/4))</f>
        <v>4.8820268037191646E-2</v>
      </c>
      <c r="P337">
        <f t="shared" ref="P337:P400" si="118">$C$10*0.3*((M337+O337/2)^(3/4))*(1-((M337+O337/2)/300)^(1/4))</f>
        <v>4.8824212931351585E-2</v>
      </c>
      <c r="Q337">
        <f t="shared" ref="Q337:Q400" si="119">$C$10*0.3*((M337+P337)^(3/4))*(1-((M337+P337)/300)^(1/4))</f>
        <v>4.8387238392001333E-2</v>
      </c>
      <c r="S337">
        <f t="shared" si="100"/>
        <v>322</v>
      </c>
      <c r="T337">
        <f t="shared" si="106"/>
        <v>297.29510916309044</v>
      </c>
      <c r="U337">
        <f t="shared" si="107"/>
        <v>297.25457940819541</v>
      </c>
      <c r="V337">
        <f t="shared" si="108"/>
        <v>297.25703406453874</v>
      </c>
      <c r="W337">
        <f t="shared" si="101"/>
        <v>3.8075098551701103E-2</v>
      </c>
      <c r="X337">
        <f t="shared" si="102"/>
        <v>2.4546563433318624E-3</v>
      </c>
    </row>
    <row r="338" spans="2:24" x14ac:dyDescent="0.25">
      <c r="B338">
        <f t="shared" si="111"/>
        <v>323</v>
      </c>
      <c r="C338">
        <f t="shared" si="112"/>
        <v>297.34368879747751</v>
      </c>
      <c r="D338">
        <f t="shared" si="113"/>
        <v>4.7710076505613562E-2</v>
      </c>
      <c r="F338">
        <f t="shared" si="109"/>
        <v>323</v>
      </c>
      <c r="G338">
        <f t="shared" si="110"/>
        <v>297.30344320235992</v>
      </c>
      <c r="H338">
        <f t="shared" si="103"/>
        <v>4.8430465739999567E-2</v>
      </c>
      <c r="I338">
        <f t="shared" si="104"/>
        <v>297.35187366809993</v>
      </c>
      <c r="J338">
        <f t="shared" si="105"/>
        <v>4.7563559698840331E-2</v>
      </c>
      <c r="L338">
        <f t="shared" si="114"/>
        <v>323</v>
      </c>
      <c r="M338">
        <f t="shared" si="115"/>
        <v>297.30585694621175</v>
      </c>
      <c r="N338">
        <f t="shared" si="116"/>
        <v>4.8387262220224971E-2</v>
      </c>
      <c r="O338">
        <f t="shared" si="117"/>
        <v>4.7954206568299705E-2</v>
      </c>
      <c r="P338">
        <f t="shared" si="118"/>
        <v>4.7958082442067694E-2</v>
      </c>
      <c r="Q338">
        <f t="shared" si="119"/>
        <v>4.7528807089144302E-2</v>
      </c>
      <c r="S338">
        <f t="shared" si="100"/>
        <v>323</v>
      </c>
      <c r="T338">
        <f t="shared" si="106"/>
        <v>297.34368879747751</v>
      </c>
      <c r="U338">
        <f t="shared" si="107"/>
        <v>297.30344320235992</v>
      </c>
      <c r="V338">
        <f t="shared" si="108"/>
        <v>297.30585694621175</v>
      </c>
      <c r="W338">
        <f t="shared" si="101"/>
        <v>3.7831851265764271E-2</v>
      </c>
      <c r="X338">
        <f t="shared" si="102"/>
        <v>2.4137438518323506E-3</v>
      </c>
    </row>
    <row r="339" spans="2:24" x14ac:dyDescent="0.25">
      <c r="B339">
        <f t="shared" si="111"/>
        <v>324</v>
      </c>
      <c r="C339">
        <f t="shared" si="112"/>
        <v>297.39139887398312</v>
      </c>
      <c r="D339">
        <f t="shared" si="113"/>
        <v>4.6855978752791627E-2</v>
      </c>
      <c r="F339">
        <f t="shared" si="109"/>
        <v>324</v>
      </c>
      <c r="G339">
        <f t="shared" si="110"/>
        <v>297.35144021507932</v>
      </c>
      <c r="H339">
        <f t="shared" si="103"/>
        <v>4.757131898811881E-2</v>
      </c>
      <c r="I339">
        <f t="shared" si="104"/>
        <v>297.39901153406743</v>
      </c>
      <c r="J339">
        <f t="shared" si="105"/>
        <v>4.6719688602597891E-2</v>
      </c>
      <c r="L339">
        <f t="shared" si="114"/>
        <v>324</v>
      </c>
      <c r="M339">
        <f t="shared" si="115"/>
        <v>297.35381372076677</v>
      </c>
      <c r="N339">
        <f t="shared" si="116"/>
        <v>4.7528830501900668E-2</v>
      </c>
      <c r="O339">
        <f t="shared" si="117"/>
        <v>4.7103405943269491E-2</v>
      </c>
      <c r="P339">
        <f t="shared" si="118"/>
        <v>4.710721397885783E-2</v>
      </c>
      <c r="Q339">
        <f t="shared" si="119"/>
        <v>4.6685504013461346E-2</v>
      </c>
      <c r="S339">
        <f t="shared" si="100"/>
        <v>324</v>
      </c>
      <c r="T339">
        <f t="shared" si="106"/>
        <v>297.39139887398312</v>
      </c>
      <c r="U339">
        <f t="shared" si="107"/>
        <v>297.35144021507932</v>
      </c>
      <c r="V339">
        <f t="shared" si="108"/>
        <v>297.35381372076677</v>
      </c>
      <c r="W339">
        <f t="shared" si="101"/>
        <v>3.7585153216355138E-2</v>
      </c>
      <c r="X339">
        <f t="shared" si="102"/>
        <v>2.3735056874443217E-3</v>
      </c>
    </row>
    <row r="340" spans="2:24" x14ac:dyDescent="0.25">
      <c r="B340">
        <f t="shared" si="111"/>
        <v>325</v>
      </c>
      <c r="C340">
        <f t="shared" si="112"/>
        <v>297.43825485273589</v>
      </c>
      <c r="D340">
        <f t="shared" si="113"/>
        <v>4.6017070004386082E-2</v>
      </c>
      <c r="F340">
        <f t="shared" si="109"/>
        <v>325</v>
      </c>
      <c r="G340">
        <f t="shared" si="110"/>
        <v>297.3985857188747</v>
      </c>
      <c r="H340">
        <f t="shared" si="103"/>
        <v>4.6727312080655323E-2</v>
      </c>
      <c r="I340">
        <f t="shared" si="104"/>
        <v>297.44531303095533</v>
      </c>
      <c r="J340">
        <f t="shared" si="105"/>
        <v>4.5890691821313313E-2</v>
      </c>
      <c r="L340">
        <f t="shared" si="114"/>
        <v>325</v>
      </c>
      <c r="M340">
        <f t="shared" si="115"/>
        <v>297.40091964982668</v>
      </c>
      <c r="N340">
        <f t="shared" si="116"/>
        <v>4.6685527017818751E-2</v>
      </c>
      <c r="O340">
        <f t="shared" si="117"/>
        <v>4.6267600902882608E-2</v>
      </c>
      <c r="P340">
        <f t="shared" si="118"/>
        <v>4.6271342263168161E-2</v>
      </c>
      <c r="Q340">
        <f t="shared" si="119"/>
        <v>4.5857066145452832E-2</v>
      </c>
      <c r="S340">
        <f t="shared" si="100"/>
        <v>325</v>
      </c>
      <c r="T340">
        <f t="shared" si="106"/>
        <v>297.43825485273589</v>
      </c>
      <c r="U340">
        <f t="shared" si="107"/>
        <v>297.3985857188747</v>
      </c>
      <c r="V340">
        <f t="shared" si="108"/>
        <v>297.40091964982668</v>
      </c>
      <c r="W340">
        <f t="shared" si="101"/>
        <v>3.7335202909218879E-2</v>
      </c>
      <c r="X340">
        <f t="shared" si="102"/>
        <v>2.3339309519769813E-3</v>
      </c>
    </row>
    <row r="341" spans="2:24" x14ac:dyDescent="0.25">
      <c r="B341">
        <f t="shared" si="111"/>
        <v>326</v>
      </c>
      <c r="C341">
        <f t="shared" si="112"/>
        <v>297.48427192274028</v>
      </c>
      <c r="D341">
        <f t="shared" si="113"/>
        <v>4.5193083756165327E-2</v>
      </c>
      <c r="F341">
        <f t="shared" si="109"/>
        <v>326</v>
      </c>
      <c r="G341">
        <f t="shared" si="110"/>
        <v>297.44489472082569</v>
      </c>
      <c r="H341">
        <f t="shared" si="103"/>
        <v>4.5898181816445283E-2</v>
      </c>
      <c r="I341">
        <f t="shared" si="104"/>
        <v>297.49079290264211</v>
      </c>
      <c r="J341">
        <f t="shared" si="105"/>
        <v>4.5076310639600103E-2</v>
      </c>
      <c r="L341">
        <f t="shared" si="114"/>
        <v>326</v>
      </c>
      <c r="M341">
        <f t="shared" si="115"/>
        <v>297.44718972974255</v>
      </c>
      <c r="N341">
        <f t="shared" si="116"/>
        <v>4.5857088748361474E-2</v>
      </c>
      <c r="O341">
        <f t="shared" si="117"/>
        <v>4.5446530668407183E-2</v>
      </c>
      <c r="P341">
        <f t="shared" si="118"/>
        <v>4.5450206497195139E-2</v>
      </c>
      <c r="Q341">
        <f t="shared" si="119"/>
        <v>4.5043234910612295E-2</v>
      </c>
      <c r="S341">
        <f t="shared" si="100"/>
        <v>326</v>
      </c>
      <c r="T341">
        <f t="shared" si="106"/>
        <v>297.48427192274028</v>
      </c>
      <c r="U341">
        <f t="shared" si="107"/>
        <v>297.44489472082569</v>
      </c>
      <c r="V341">
        <f t="shared" si="108"/>
        <v>297.44718972974255</v>
      </c>
      <c r="W341">
        <f t="shared" si="101"/>
        <v>3.7082192997729635E-2</v>
      </c>
      <c r="X341">
        <f t="shared" si="102"/>
        <v>2.2950089168602972E-3</v>
      </c>
    </row>
    <row r="342" spans="2:24" x14ac:dyDescent="0.25">
      <c r="B342">
        <f t="shared" si="111"/>
        <v>327</v>
      </c>
      <c r="C342">
        <f t="shared" si="112"/>
        <v>297.52946500649642</v>
      </c>
      <c r="D342">
        <f t="shared" si="113"/>
        <v>4.4383758050064531E-2</v>
      </c>
      <c r="F342">
        <f t="shared" si="109"/>
        <v>327</v>
      </c>
      <c r="G342">
        <f t="shared" si="110"/>
        <v>297.49038196705374</v>
      </c>
      <c r="H342">
        <f t="shared" si="103"/>
        <v>4.5083669441929791E-2</v>
      </c>
      <c r="I342">
        <f t="shared" si="104"/>
        <v>297.53546563649564</v>
      </c>
      <c r="J342">
        <f t="shared" si="105"/>
        <v>4.4276290718582065E-2</v>
      </c>
      <c r="L342">
        <f t="shared" si="114"/>
        <v>327</v>
      </c>
      <c r="M342">
        <f t="shared" si="115"/>
        <v>297.49263869607427</v>
      </c>
      <c r="N342">
        <f t="shared" si="116"/>
        <v>4.5043257118911099E-2</v>
      </c>
      <c r="O342">
        <f t="shared" si="117"/>
        <v>4.4639938870581958E-2</v>
      </c>
      <c r="P342">
        <f t="shared" si="118"/>
        <v>4.4643550292906287E-2</v>
      </c>
      <c r="Q342">
        <f t="shared" si="119"/>
        <v>4.4243756108925364E-2</v>
      </c>
      <c r="S342">
        <f t="shared" si="100"/>
        <v>327</v>
      </c>
      <c r="T342">
        <f t="shared" si="106"/>
        <v>297.52946500649642</v>
      </c>
      <c r="U342">
        <f t="shared" si="107"/>
        <v>297.49038196705374</v>
      </c>
      <c r="V342">
        <f t="shared" si="108"/>
        <v>297.49263869607427</v>
      </c>
      <c r="W342">
        <f t="shared" si="101"/>
        <v>3.6826310422156894E-2</v>
      </c>
      <c r="X342">
        <f t="shared" si="102"/>
        <v>2.2567290205302015E-3</v>
      </c>
    </row>
    <row r="343" spans="2:24" x14ac:dyDescent="0.25">
      <c r="B343">
        <f t="shared" si="111"/>
        <v>328</v>
      </c>
      <c r="C343">
        <f t="shared" si="112"/>
        <v>297.57384876454648</v>
      </c>
      <c r="D343">
        <f t="shared" si="113"/>
        <v>4.3588835401344679E-2</v>
      </c>
      <c r="F343">
        <f t="shared" si="109"/>
        <v>328</v>
      </c>
      <c r="G343">
        <f t="shared" si="110"/>
        <v>297.53506194713401</v>
      </c>
      <c r="H343">
        <f t="shared" si="103"/>
        <v>4.4283520580616603E-2</v>
      </c>
      <c r="I343">
        <f t="shared" si="104"/>
        <v>297.57934546771463</v>
      </c>
      <c r="J343">
        <f t="shared" si="105"/>
        <v>4.3490382026286238E-2</v>
      </c>
      <c r="L343">
        <f t="shared" si="114"/>
        <v>328</v>
      </c>
      <c r="M343">
        <f t="shared" si="115"/>
        <v>297.53728102800005</v>
      </c>
      <c r="N343">
        <f t="shared" si="116"/>
        <v>4.4243777929346091E-2</v>
      </c>
      <c r="O343">
        <f t="shared" si="117"/>
        <v>4.3847573479604017E-2</v>
      </c>
      <c r="P343">
        <f t="shared" si="118"/>
        <v>4.3851121601994121E-2</v>
      </c>
      <c r="Q343">
        <f t="shared" si="119"/>
        <v>4.3458379845289295E-2</v>
      </c>
      <c r="S343">
        <f t="shared" si="100"/>
        <v>328</v>
      </c>
      <c r="T343">
        <f t="shared" si="106"/>
        <v>297.57384876454648</v>
      </c>
      <c r="U343">
        <f t="shared" si="107"/>
        <v>297.53506194713401</v>
      </c>
      <c r="V343">
        <f t="shared" si="108"/>
        <v>297.53728102800005</v>
      </c>
      <c r="W343">
        <f t="shared" si="101"/>
        <v>3.6567736546430751E-2</v>
      </c>
      <c r="X343">
        <f t="shared" si="102"/>
        <v>2.2190808660411676E-3</v>
      </c>
    </row>
    <row r="344" spans="2:24" x14ac:dyDescent="0.25">
      <c r="B344">
        <f t="shared" si="111"/>
        <v>329</v>
      </c>
      <c r="C344">
        <f t="shared" si="112"/>
        <v>297.61743759994783</v>
      </c>
      <c r="D344">
        <f t="shared" si="113"/>
        <v>4.2808062726750716E-2</v>
      </c>
      <c r="F344">
        <f t="shared" si="109"/>
        <v>329</v>
      </c>
      <c r="G344">
        <f t="shared" si="110"/>
        <v>297.57894889843749</v>
      </c>
      <c r="H344">
        <f t="shared" si="103"/>
        <v>4.3497485163489828E-2</v>
      </c>
      <c r="I344">
        <f t="shared" si="104"/>
        <v>297.62244638360096</v>
      </c>
      <c r="J344">
        <f t="shared" si="105"/>
        <v>4.2718338769021293E-2</v>
      </c>
      <c r="L344">
        <f t="shared" si="114"/>
        <v>329</v>
      </c>
      <c r="M344">
        <f t="shared" si="115"/>
        <v>297.58113095265634</v>
      </c>
      <c r="N344">
        <f t="shared" si="116"/>
        <v>4.3458401284451588E-2</v>
      </c>
      <c r="O344">
        <f t="shared" si="117"/>
        <v>4.3069186736012191E-2</v>
      </c>
      <c r="P344">
        <f t="shared" si="118"/>
        <v>4.3072672646774744E-2</v>
      </c>
      <c r="Q344">
        <f t="shared" si="119"/>
        <v>4.2686860460904939E-2</v>
      </c>
      <c r="S344">
        <f t="shared" si="100"/>
        <v>329</v>
      </c>
      <c r="T344">
        <f t="shared" si="106"/>
        <v>297.61743759994783</v>
      </c>
      <c r="U344">
        <f t="shared" si="107"/>
        <v>297.57894889843749</v>
      </c>
      <c r="V344">
        <f t="shared" si="108"/>
        <v>297.58113095265634</v>
      </c>
      <c r="W344">
        <f t="shared" si="101"/>
        <v>3.6306647291496574E-2</v>
      </c>
      <c r="X344">
        <f t="shared" si="102"/>
        <v>2.1820542188493164E-3</v>
      </c>
    </row>
    <row r="345" spans="2:24" x14ac:dyDescent="0.25">
      <c r="B345">
        <f t="shared" si="111"/>
        <v>330</v>
      </c>
      <c r="C345">
        <f t="shared" si="112"/>
        <v>297.66024566267458</v>
      </c>
      <c r="D345">
        <f t="shared" si="113"/>
        <v>4.2041191273667337E-2</v>
      </c>
      <c r="F345">
        <f t="shared" si="109"/>
        <v>330</v>
      </c>
      <c r="G345">
        <f t="shared" si="110"/>
        <v>297.62205681040376</v>
      </c>
      <c r="H345">
        <f t="shared" si="103"/>
        <v>4.2725317360346203E-2</v>
      </c>
      <c r="I345">
        <f t="shared" si="104"/>
        <v>297.66478212776411</v>
      </c>
      <c r="J345">
        <f t="shared" si="105"/>
        <v>4.1959919323643326E-2</v>
      </c>
      <c r="L345">
        <f t="shared" si="114"/>
        <v>330</v>
      </c>
      <c r="M345">
        <f t="shared" si="115"/>
        <v>297.62420244940819</v>
      </c>
      <c r="N345">
        <f t="shared" si="116"/>
        <v>4.2686881525318091E-2</v>
      </c>
      <c r="O345">
        <f t="shared" si="117"/>
        <v>4.2304535082561226E-2</v>
      </c>
      <c r="P345">
        <f t="shared" si="118"/>
        <v>4.2307959852047404E-2</v>
      </c>
      <c r="Q345">
        <f t="shared" si="119"/>
        <v>4.1928956465577982E-2</v>
      </c>
      <c r="S345">
        <f t="shared" si="100"/>
        <v>330</v>
      </c>
      <c r="T345">
        <f t="shared" si="106"/>
        <v>297.66024566267458</v>
      </c>
      <c r="U345">
        <f t="shared" si="107"/>
        <v>297.62205681040376</v>
      </c>
      <c r="V345">
        <f t="shared" si="108"/>
        <v>297.62420244940819</v>
      </c>
      <c r="W345">
        <f t="shared" si="101"/>
        <v>3.6043213266395924E-2</v>
      </c>
      <c r="X345">
        <f t="shared" si="102"/>
        <v>2.1456390044249929E-3</v>
      </c>
    </row>
    <row r="346" spans="2:24" x14ac:dyDescent="0.25">
      <c r="B346">
        <f t="shared" si="111"/>
        <v>331</v>
      </c>
      <c r="C346">
        <f t="shared" si="112"/>
        <v>297.70228685394824</v>
      </c>
      <c r="D346">
        <f t="shared" si="113"/>
        <v>4.1287976550235521E-2</v>
      </c>
      <c r="F346">
        <f t="shared" si="109"/>
        <v>331</v>
      </c>
      <c r="G346">
        <f t="shared" si="110"/>
        <v>297.66439942874575</v>
      </c>
      <c r="H346">
        <f t="shared" si="103"/>
        <v>4.1966775512089459E-2</v>
      </c>
      <c r="I346">
        <f t="shared" si="104"/>
        <v>297.70636620425785</v>
      </c>
      <c r="J346">
        <f t="shared" si="105"/>
        <v>4.1214886170796342E-2</v>
      </c>
      <c r="L346">
        <f t="shared" si="114"/>
        <v>331</v>
      </c>
      <c r="M346">
        <f t="shared" si="115"/>
        <v>297.66650925405156</v>
      </c>
      <c r="N346">
        <f t="shared" si="116"/>
        <v>4.1928977161652427E-2</v>
      </c>
      <c r="O346">
        <f t="shared" si="117"/>
        <v>4.1553379096983971E-2</v>
      </c>
      <c r="P346">
        <f t="shared" si="118"/>
        <v>4.1556743777856973E-2</v>
      </c>
      <c r="Q346">
        <f t="shared" si="119"/>
        <v>4.1184430470969105E-2</v>
      </c>
      <c r="S346">
        <f t="shared" si="100"/>
        <v>331</v>
      </c>
      <c r="T346">
        <f t="shared" si="106"/>
        <v>297.70228685394824</v>
      </c>
      <c r="U346">
        <f t="shared" si="107"/>
        <v>297.66439942874575</v>
      </c>
      <c r="V346">
        <f t="shared" si="108"/>
        <v>297.66650925405156</v>
      </c>
      <c r="W346">
        <f t="shared" si="101"/>
        <v>3.5777599896675838E-2</v>
      </c>
      <c r="X346">
        <f t="shared" si="102"/>
        <v>2.1098253058084993E-3</v>
      </c>
    </row>
    <row r="347" spans="2:24" x14ac:dyDescent="0.25">
      <c r="B347">
        <f t="shared" si="111"/>
        <v>332</v>
      </c>
      <c r="C347">
        <f t="shared" si="112"/>
        <v>297.74357483049846</v>
      </c>
      <c r="D347">
        <f t="shared" si="113"/>
        <v>4.0548178256437667E-2</v>
      </c>
      <c r="F347">
        <f t="shared" si="109"/>
        <v>332</v>
      </c>
      <c r="G347">
        <f t="shared" si="110"/>
        <v>297.70599025958717</v>
      </c>
      <c r="H347">
        <f t="shared" si="103"/>
        <v>4.1221622063944759E-2</v>
      </c>
      <c r="I347">
        <f t="shared" si="104"/>
        <v>297.74721188165114</v>
      </c>
      <c r="J347">
        <f t="shared" si="105"/>
        <v>4.048300582903467E-2</v>
      </c>
      <c r="L347">
        <f t="shared" si="114"/>
        <v>332</v>
      </c>
      <c r="M347">
        <f t="shared" si="115"/>
        <v>297.70806486294862</v>
      </c>
      <c r="N347">
        <f t="shared" si="116"/>
        <v>4.1184450805004359E-2</v>
      </c>
      <c r="O347">
        <f t="shared" si="117"/>
        <v>4.0815483425701314E-2</v>
      </c>
      <c r="P347">
        <f t="shared" si="118"/>
        <v>4.0818789053203478E-2</v>
      </c>
      <c r="Q347">
        <f t="shared" si="119"/>
        <v>4.0453049124753601E-2</v>
      </c>
      <c r="S347">
        <f t="shared" si="100"/>
        <v>332</v>
      </c>
      <c r="T347">
        <f t="shared" si="106"/>
        <v>297.74357483049846</v>
      </c>
      <c r="U347">
        <f t="shared" si="107"/>
        <v>297.70599025958717</v>
      </c>
      <c r="V347">
        <f t="shared" si="108"/>
        <v>297.70806486294862</v>
      </c>
      <c r="W347">
        <f t="shared" si="101"/>
        <v>3.5509967549842258E-2</v>
      </c>
      <c r="X347">
        <f t="shared" si="102"/>
        <v>2.0746033614500448E-3</v>
      </c>
    </row>
    <row r="348" spans="2:24" x14ac:dyDescent="0.25">
      <c r="B348">
        <f t="shared" si="111"/>
        <v>333</v>
      </c>
      <c r="C348">
        <f t="shared" si="112"/>
        <v>297.78412300875488</v>
      </c>
      <c r="D348">
        <f t="shared" si="113"/>
        <v>3.9821560216161386E-2</v>
      </c>
      <c r="F348">
        <f t="shared" si="109"/>
        <v>333</v>
      </c>
      <c r="G348">
        <f t="shared" si="110"/>
        <v>297.74684257353368</v>
      </c>
      <c r="H348">
        <f t="shared" si="103"/>
        <v>4.0489623499580879E-2</v>
      </c>
      <c r="I348">
        <f t="shared" si="104"/>
        <v>297.78733219703327</v>
      </c>
      <c r="J348">
        <f t="shared" si="105"/>
        <v>3.9764048789899642E-2</v>
      </c>
      <c r="L348">
        <f t="shared" si="114"/>
        <v>333</v>
      </c>
      <c r="M348">
        <f t="shared" si="115"/>
        <v>297.74888253709656</v>
      </c>
      <c r="N348">
        <f t="shared" si="116"/>
        <v>4.0453069102951857E-2</v>
      </c>
      <c r="O348">
        <f t="shared" si="117"/>
        <v>4.0090616718447866E-2</v>
      </c>
      <c r="P348">
        <f t="shared" si="118"/>
        <v>4.0093864310668192E-2</v>
      </c>
      <c r="Q348">
        <f t="shared" si="119"/>
        <v>3.9734583045713485E-2</v>
      </c>
      <c r="S348">
        <f t="shared" ref="S348:S411" si="120">S347+1</f>
        <v>333</v>
      </c>
      <c r="T348">
        <f t="shared" si="106"/>
        <v>297.78412300875488</v>
      </c>
      <c r="U348">
        <f t="shared" si="107"/>
        <v>297.74684257353368</v>
      </c>
      <c r="V348">
        <f t="shared" si="108"/>
        <v>297.74888253709656</v>
      </c>
      <c r="W348">
        <f t="shared" ref="W348:W411" si="121">ABS(T348-V348)</f>
        <v>3.5240471658312345E-2</v>
      </c>
      <c r="X348">
        <f t="shared" ref="X348:X411" si="122">ABS(U348-V348)</f>
        <v>2.0399635628791657E-3</v>
      </c>
    </row>
    <row r="349" spans="2:24" x14ac:dyDescent="0.25">
      <c r="B349">
        <f t="shared" si="111"/>
        <v>334</v>
      </c>
      <c r="C349">
        <f t="shared" si="112"/>
        <v>297.82394456897106</v>
      </c>
      <c r="D349">
        <f t="shared" si="113"/>
        <v>3.9107890310210065E-2</v>
      </c>
      <c r="F349">
        <f t="shared" si="109"/>
        <v>334</v>
      </c>
      <c r="G349">
        <f t="shared" si="110"/>
        <v>297.78696940967842</v>
      </c>
      <c r="H349">
        <f t="shared" si="103"/>
        <v>3.9770550276177062E-2</v>
      </c>
      <c r="I349">
        <f t="shared" si="104"/>
        <v>297.82673995995458</v>
      </c>
      <c r="J349">
        <f t="shared" si="105"/>
        <v>3.9057789453874892E-2</v>
      </c>
      <c r="L349">
        <f t="shared" si="114"/>
        <v>334</v>
      </c>
      <c r="M349">
        <f t="shared" si="115"/>
        <v>297.78897530613102</v>
      </c>
      <c r="N349">
        <f t="shared" si="116"/>
        <v>3.9734602674172427E-2</v>
      </c>
      <c r="O349">
        <f t="shared" si="117"/>
        <v>3.9378551563818913E-2</v>
      </c>
      <c r="P349">
        <f t="shared" si="118"/>
        <v>3.9381742121945666E-2</v>
      </c>
      <c r="Q349">
        <f t="shared" si="119"/>
        <v>3.9028806759714499E-2</v>
      </c>
      <c r="S349">
        <f t="shared" si="120"/>
        <v>334</v>
      </c>
      <c r="T349">
        <f t="shared" si="106"/>
        <v>297.82394456897106</v>
      </c>
      <c r="U349">
        <f t="shared" si="107"/>
        <v>297.78696940967842</v>
      </c>
      <c r="V349">
        <f t="shared" si="108"/>
        <v>297.78897530613102</v>
      </c>
      <c r="W349">
        <f t="shared" si="121"/>
        <v>3.4969262840036208E-2</v>
      </c>
      <c r="X349">
        <f t="shared" si="122"/>
        <v>2.0058964526015188E-3</v>
      </c>
    </row>
    <row r="350" spans="2:24" x14ac:dyDescent="0.25">
      <c r="B350">
        <f t="shared" si="111"/>
        <v>335</v>
      </c>
      <c r="C350">
        <f t="shared" si="112"/>
        <v>297.86305245928128</v>
      </c>
      <c r="D350">
        <f t="shared" si="113"/>
        <v>3.8406940410265537E-2</v>
      </c>
      <c r="F350">
        <f t="shared" si="109"/>
        <v>335</v>
      </c>
      <c r="G350">
        <f t="shared" si="110"/>
        <v>297.82638357954346</v>
      </c>
      <c r="H350">
        <f t="shared" si="103"/>
        <v>3.906417676038048E-2</v>
      </c>
      <c r="I350">
        <f t="shared" si="104"/>
        <v>297.86544775630387</v>
      </c>
      <c r="J350">
        <f t="shared" si="105"/>
        <v>3.8364006067250669E-2</v>
      </c>
      <c r="L350">
        <f t="shared" si="114"/>
        <v>335</v>
      </c>
      <c r="M350">
        <f t="shared" si="115"/>
        <v>297.82835597226529</v>
      </c>
      <c r="N350">
        <f t="shared" si="116"/>
        <v>3.9028826044426611E-2</v>
      </c>
      <c r="O350">
        <f t="shared" si="117"/>
        <v>3.8679064425693896E-2</v>
      </c>
      <c r="P350">
        <f t="shared" si="118"/>
        <v>3.8682198934278933E-2</v>
      </c>
      <c r="Q350">
        <f t="shared" si="119"/>
        <v>3.8335498636596868E-2</v>
      </c>
      <c r="S350">
        <f t="shared" si="120"/>
        <v>335</v>
      </c>
      <c r="T350">
        <f t="shared" si="106"/>
        <v>297.86305245928128</v>
      </c>
      <c r="U350">
        <f t="shared" si="107"/>
        <v>297.82638357954346</v>
      </c>
      <c r="V350">
        <f t="shared" si="108"/>
        <v>297.82835597226529</v>
      </c>
      <c r="W350">
        <f t="shared" si="121"/>
        <v>3.4696487015992261E-2</v>
      </c>
      <c r="X350">
        <f t="shared" si="122"/>
        <v>1.9723927218251447E-3</v>
      </c>
    </row>
    <row r="351" spans="2:24" x14ac:dyDescent="0.25">
      <c r="B351">
        <f t="shared" si="111"/>
        <v>336</v>
      </c>
      <c r="C351">
        <f t="shared" si="112"/>
        <v>297.90145939969153</v>
      </c>
      <c r="D351">
        <f t="shared" si="113"/>
        <v>3.7718486313780109E-2</v>
      </c>
      <c r="F351">
        <f t="shared" si="109"/>
        <v>336</v>
      </c>
      <c r="G351">
        <f t="shared" si="110"/>
        <v>297.86509767095725</v>
      </c>
      <c r="H351">
        <f t="shared" si="103"/>
        <v>3.8370281165157734E-2</v>
      </c>
      <c r="I351">
        <f t="shared" si="104"/>
        <v>297.90346795212241</v>
      </c>
      <c r="J351">
        <f t="shared" si="105"/>
        <v>3.7682480659899847E-2</v>
      </c>
      <c r="L351">
        <f t="shared" si="114"/>
        <v>336</v>
      </c>
      <c r="M351">
        <f t="shared" si="115"/>
        <v>297.86703711416544</v>
      </c>
      <c r="N351">
        <f t="shared" si="116"/>
        <v>3.8335517583468467E-2</v>
      </c>
      <c r="O351">
        <f t="shared" si="117"/>
        <v>3.7991935580594445E-2</v>
      </c>
      <c r="P351">
        <f t="shared" si="118"/>
        <v>3.7995015007803029E-2</v>
      </c>
      <c r="Q351">
        <f t="shared" si="119"/>
        <v>3.7654440827971244E-2</v>
      </c>
      <c r="S351">
        <f t="shared" si="120"/>
        <v>336</v>
      </c>
      <c r="T351">
        <f t="shared" si="106"/>
        <v>297.90145939969153</v>
      </c>
      <c r="U351">
        <f t="shared" si="107"/>
        <v>297.86509767095725</v>
      </c>
      <c r="V351">
        <f t="shared" si="108"/>
        <v>297.86703711416544</v>
      </c>
      <c r="W351">
        <f t="shared" si="121"/>
        <v>3.4422285526090945E-2</v>
      </c>
      <c r="X351">
        <f t="shared" si="122"/>
        <v>1.9394432081867308E-3</v>
      </c>
    </row>
    <row r="352" spans="2:24" x14ac:dyDescent="0.25">
      <c r="B352">
        <f t="shared" si="111"/>
        <v>337</v>
      </c>
      <c r="C352">
        <f t="shared" si="112"/>
        <v>297.93917788600533</v>
      </c>
      <c r="D352">
        <f t="shared" si="113"/>
        <v>3.7042307679816824E-2</v>
      </c>
      <c r="F352">
        <f t="shared" si="109"/>
        <v>337</v>
      </c>
      <c r="G352">
        <f t="shared" si="110"/>
        <v>297.90312405186978</v>
      </c>
      <c r="H352">
        <f t="shared" si="103"/>
        <v>3.7688645487565536E-2</v>
      </c>
      <c r="I352">
        <f t="shared" si="104"/>
        <v>297.94081269735733</v>
      </c>
      <c r="J352">
        <f t="shared" si="105"/>
        <v>3.7012998983902985E-2</v>
      </c>
      <c r="L352">
        <f t="shared" si="114"/>
        <v>337</v>
      </c>
      <c r="M352">
        <f t="shared" si="115"/>
        <v>297.90503109076349</v>
      </c>
      <c r="N352">
        <f t="shared" si="116"/>
        <v>3.76544594428029E-2</v>
      </c>
      <c r="O352">
        <f t="shared" si="117"/>
        <v>3.7316949055903548E-2</v>
      </c>
      <c r="P352">
        <f t="shared" si="118"/>
        <v>3.7319974353761234E-2</v>
      </c>
      <c r="Q352">
        <f t="shared" si="119"/>
        <v>3.6985419205878924E-2</v>
      </c>
      <c r="S352">
        <f t="shared" si="120"/>
        <v>337</v>
      </c>
      <c r="T352">
        <f t="shared" si="106"/>
        <v>297.93917788600533</v>
      </c>
      <c r="U352">
        <f t="shared" si="107"/>
        <v>297.90312405186978</v>
      </c>
      <c r="V352">
        <f t="shared" si="108"/>
        <v>297.90503109076349</v>
      </c>
      <c r="W352">
        <f t="shared" si="121"/>
        <v>3.414679524183839E-2</v>
      </c>
      <c r="X352">
        <f t="shared" si="122"/>
        <v>1.9070388937052485E-3</v>
      </c>
    </row>
    <row r="353" spans="2:24" x14ac:dyDescent="0.25">
      <c r="B353">
        <f t="shared" si="111"/>
        <v>338</v>
      </c>
      <c r="C353">
        <f t="shared" si="112"/>
        <v>297.97622019368515</v>
      </c>
      <c r="D353">
        <f t="shared" si="113"/>
        <v>3.637818796579538E-2</v>
      </c>
      <c r="F353">
        <f t="shared" si="109"/>
        <v>338</v>
      </c>
      <c r="G353">
        <f t="shared" si="110"/>
        <v>297.94047487410552</v>
      </c>
      <c r="H353">
        <f t="shared" si="103"/>
        <v>3.7019055447372433E-2</v>
      </c>
      <c r="I353">
        <f t="shared" si="104"/>
        <v>297.97749392955291</v>
      </c>
      <c r="J353">
        <f t="shared" si="105"/>
        <v>3.63553504530938E-2</v>
      </c>
      <c r="L353">
        <f t="shared" si="114"/>
        <v>338</v>
      </c>
      <c r="M353">
        <f t="shared" si="115"/>
        <v>297.94235004500814</v>
      </c>
      <c r="N353">
        <f t="shared" si="116"/>
        <v>3.6985437494377035E-2</v>
      </c>
      <c r="O353">
        <f t="shared" si="117"/>
        <v>3.6653892568978434E-2</v>
      </c>
      <c r="P353">
        <f t="shared" si="118"/>
        <v>3.6656864673622128E-2</v>
      </c>
      <c r="Q353">
        <f t="shared" si="119"/>
        <v>3.6328223302331882E-2</v>
      </c>
      <c r="S353">
        <f t="shared" si="120"/>
        <v>338</v>
      </c>
      <c r="T353">
        <f t="shared" si="106"/>
        <v>297.97622019368515</v>
      </c>
      <c r="U353">
        <f t="shared" si="107"/>
        <v>297.94047487410552</v>
      </c>
      <c r="V353">
        <f t="shared" si="108"/>
        <v>297.94235004500814</v>
      </c>
      <c r="W353">
        <f t="shared" si="121"/>
        <v>3.3870148677010548E-2</v>
      </c>
      <c r="X353">
        <f t="shared" si="122"/>
        <v>1.8751709026219032E-3</v>
      </c>
    </row>
    <row r="354" spans="2:24" x14ac:dyDescent="0.25">
      <c r="B354">
        <f t="shared" si="111"/>
        <v>339</v>
      </c>
      <c r="C354">
        <f t="shared" si="112"/>
        <v>298.01259838165095</v>
      </c>
      <c r="D354">
        <f t="shared" si="113"/>
        <v>3.5725914365177219E-2</v>
      </c>
      <c r="F354">
        <f t="shared" si="109"/>
        <v>339</v>
      </c>
      <c r="G354">
        <f t="shared" si="110"/>
        <v>297.97716207705577</v>
      </c>
      <c r="H354">
        <f t="shared" si="103"/>
        <v>3.6361300426596216E-2</v>
      </c>
      <c r="I354">
        <f t="shared" si="104"/>
        <v>298.01352337748239</v>
      </c>
      <c r="J354">
        <f t="shared" si="105"/>
        <v>3.5709328083435264E-2</v>
      </c>
      <c r="L354">
        <f t="shared" si="114"/>
        <v>339</v>
      </c>
      <c r="M354">
        <f t="shared" si="115"/>
        <v>297.97900590755512</v>
      </c>
      <c r="N354">
        <f t="shared" si="116"/>
        <v>3.6328241270110972E-2</v>
      </c>
      <c r="O354">
        <f t="shared" si="117"/>
        <v>3.6002557467129624E-2</v>
      </c>
      <c r="P354">
        <f t="shared" si="118"/>
        <v>3.6005477299053623E-2</v>
      </c>
      <c r="Q354">
        <f t="shared" si="119"/>
        <v>3.5682646249741601E-2</v>
      </c>
      <c r="S354">
        <f t="shared" si="120"/>
        <v>339</v>
      </c>
      <c r="T354">
        <f t="shared" si="106"/>
        <v>298.01259838165095</v>
      </c>
      <c r="U354">
        <f t="shared" si="107"/>
        <v>297.97716207705577</v>
      </c>
      <c r="V354">
        <f t="shared" si="108"/>
        <v>297.97900590755512</v>
      </c>
      <c r="W354">
        <f t="shared" si="121"/>
        <v>3.3592474095826219E-2</v>
      </c>
      <c r="X354">
        <f t="shared" si="122"/>
        <v>1.8438304993537713E-3</v>
      </c>
    </row>
    <row r="355" spans="2:24" x14ac:dyDescent="0.25">
      <c r="B355">
        <f t="shared" si="111"/>
        <v>340</v>
      </c>
      <c r="C355">
        <f t="shared" si="112"/>
        <v>298.04832429601612</v>
      </c>
      <c r="D355">
        <f t="shared" si="113"/>
        <v>3.5085277746024372E-2</v>
      </c>
      <c r="F355">
        <f t="shared" si="109"/>
        <v>340</v>
      </c>
      <c r="G355">
        <f t="shared" si="110"/>
        <v>298.01319739131077</v>
      </c>
      <c r="H355">
        <f t="shared" si="103"/>
        <v>3.5715173409873992E-2</v>
      </c>
      <c r="I355">
        <f t="shared" si="104"/>
        <v>298.04891256472064</v>
      </c>
      <c r="J355">
        <f t="shared" si="105"/>
        <v>3.5074728434288695E-2</v>
      </c>
      <c r="L355">
        <f t="shared" si="114"/>
        <v>340</v>
      </c>
      <c r="M355">
        <f t="shared" si="115"/>
        <v>298.01501040039716</v>
      </c>
      <c r="N355">
        <f t="shared" si="116"/>
        <v>3.5682663902321402E-2</v>
      </c>
      <c r="O355">
        <f t="shared" si="117"/>
        <v>3.5362738668474822E-2</v>
      </c>
      <c r="P355">
        <f t="shared" si="118"/>
        <v>3.5365607132775888E-2</v>
      </c>
      <c r="Q355">
        <f t="shared" si="119"/>
        <v>3.5048484722191207E-2</v>
      </c>
      <c r="S355">
        <f t="shared" si="120"/>
        <v>340</v>
      </c>
      <c r="T355">
        <f t="shared" si="106"/>
        <v>298.04832429601612</v>
      </c>
      <c r="U355">
        <f t="shared" si="107"/>
        <v>298.01319739131077</v>
      </c>
      <c r="V355">
        <f t="shared" si="108"/>
        <v>298.01501040039716</v>
      </c>
      <c r="W355">
        <f t="shared" si="121"/>
        <v>3.3313895618960032E-2</v>
      </c>
      <c r="X355">
        <f t="shared" si="122"/>
        <v>1.8130090863905934E-3</v>
      </c>
    </row>
    <row r="356" spans="2:24" x14ac:dyDescent="0.25">
      <c r="B356">
        <f t="shared" si="111"/>
        <v>341</v>
      </c>
      <c r="C356">
        <f t="shared" si="112"/>
        <v>298.08340957376214</v>
      </c>
      <c r="D356">
        <f t="shared" si="113"/>
        <v>3.4456072590492194E-2</v>
      </c>
      <c r="F356">
        <f t="shared" si="109"/>
        <v>341</v>
      </c>
      <c r="G356">
        <f t="shared" si="110"/>
        <v>298.04859234223284</v>
      </c>
      <c r="H356">
        <f t="shared" si="103"/>
        <v>3.508047092572053E-2</v>
      </c>
      <c r="I356">
        <f t="shared" si="104"/>
        <v>298.08367281315856</v>
      </c>
      <c r="J356">
        <f t="shared" si="105"/>
        <v>3.4451351550507048E-2</v>
      </c>
      <c r="L356">
        <f t="shared" si="114"/>
        <v>341</v>
      </c>
      <c r="M356">
        <f t="shared" si="115"/>
        <v>298.05037504043497</v>
      </c>
      <c r="N356">
        <f t="shared" si="116"/>
        <v>3.5048502064998877E-2</v>
      </c>
      <c r="O356">
        <f t="shared" si="117"/>
        <v>3.4734234603647926E-2</v>
      </c>
      <c r="P356">
        <f t="shared" si="118"/>
        <v>3.4737052590253337E-2</v>
      </c>
      <c r="Q356">
        <f t="shared" si="119"/>
        <v>3.4425538877558177E-2</v>
      </c>
      <c r="S356">
        <f t="shared" si="120"/>
        <v>341</v>
      </c>
      <c r="T356">
        <f t="shared" si="106"/>
        <v>298.08340957376214</v>
      </c>
      <c r="U356">
        <f t="shared" si="107"/>
        <v>298.04859234223284</v>
      </c>
      <c r="V356">
        <f t="shared" si="108"/>
        <v>298.05037504043497</v>
      </c>
      <c r="W356">
        <f t="shared" si="121"/>
        <v>3.3034533327167992E-2</v>
      </c>
      <c r="X356">
        <f t="shared" si="122"/>
        <v>1.7826982021347249E-3</v>
      </c>
    </row>
    <row r="357" spans="2:24" x14ac:dyDescent="0.25">
      <c r="B357">
        <f t="shared" si="111"/>
        <v>342</v>
      </c>
      <c r="C357">
        <f t="shared" si="112"/>
        <v>298.11786564635264</v>
      </c>
      <c r="D357">
        <f t="shared" si="113"/>
        <v>3.3838096935178676E-2</v>
      </c>
      <c r="F357">
        <f t="shared" si="109"/>
        <v>342</v>
      </c>
      <c r="G357">
        <f t="shared" si="110"/>
        <v>298.08335825347098</v>
      </c>
      <c r="H357">
        <f t="shared" si="103"/>
        <v>3.4456992988629677E-2</v>
      </c>
      <c r="I357">
        <f t="shared" si="104"/>
        <v>298.1178152464596</v>
      </c>
      <c r="J357">
        <f t="shared" si="105"/>
        <v>3.3839000905399041E-2</v>
      </c>
      <c r="L357">
        <f t="shared" si="114"/>
        <v>342</v>
      </c>
      <c r="M357">
        <f t="shared" si="115"/>
        <v>298.08511114299006</v>
      </c>
      <c r="N357">
        <f t="shared" si="116"/>
        <v>3.4425555915932764E-2</v>
      </c>
      <c r="O357">
        <f t="shared" si="117"/>
        <v>3.4116847158337536E-2</v>
      </c>
      <c r="P357">
        <f t="shared" si="118"/>
        <v>3.4119615542253512E-2</v>
      </c>
      <c r="Q357">
        <f t="shared" si="119"/>
        <v>3.3813612300497169E-2</v>
      </c>
      <c r="S357">
        <f t="shared" si="120"/>
        <v>342</v>
      </c>
      <c r="T357">
        <f t="shared" si="106"/>
        <v>298.11786564635264</v>
      </c>
      <c r="U357">
        <f t="shared" si="107"/>
        <v>298.08335825347098</v>
      </c>
      <c r="V357">
        <f t="shared" si="108"/>
        <v>298.08511114299006</v>
      </c>
      <c r="W357">
        <f t="shared" si="121"/>
        <v>3.2754503362582454E-2</v>
      </c>
      <c r="X357">
        <f t="shared" si="122"/>
        <v>1.7528895190821459E-3</v>
      </c>
    </row>
    <row r="358" spans="2:24" x14ac:dyDescent="0.25">
      <c r="B358">
        <f t="shared" si="111"/>
        <v>343</v>
      </c>
      <c r="C358">
        <f t="shared" si="112"/>
        <v>298.15170374328784</v>
      </c>
      <c r="D358">
        <f t="shared" si="113"/>
        <v>3.3231152312378859E-2</v>
      </c>
      <c r="F358">
        <f t="shared" si="109"/>
        <v>343</v>
      </c>
      <c r="G358">
        <f t="shared" si="110"/>
        <v>298.11750625041799</v>
      </c>
      <c r="H358">
        <f t="shared" si="103"/>
        <v>3.3844543042017977E-2</v>
      </c>
      <c r="I358">
        <f t="shared" si="104"/>
        <v>298.15135079345998</v>
      </c>
      <c r="J358">
        <f t="shared" si="105"/>
        <v>3.3237483344516386E-2</v>
      </c>
      <c r="L358">
        <f t="shared" si="114"/>
        <v>343</v>
      </c>
      <c r="M358">
        <f t="shared" si="115"/>
        <v>298.11922982525965</v>
      </c>
      <c r="N358">
        <f t="shared" si="116"/>
        <v>3.3813629039691692E-2</v>
      </c>
      <c r="O358">
        <f t="shared" si="117"/>
        <v>3.3510381616710633E-2</v>
      </c>
      <c r="P358">
        <f t="shared" si="118"/>
        <v>3.3513101258241619E-2</v>
      </c>
      <c r="Q358">
        <f t="shared" si="119"/>
        <v>3.3212511946250037E-2</v>
      </c>
      <c r="S358">
        <f t="shared" si="120"/>
        <v>343</v>
      </c>
      <c r="T358">
        <f t="shared" si="106"/>
        <v>298.15170374328784</v>
      </c>
      <c r="U358">
        <f t="shared" si="107"/>
        <v>298.11750625041799</v>
      </c>
      <c r="V358">
        <f t="shared" si="108"/>
        <v>298.11922982525965</v>
      </c>
      <c r="W358">
        <f t="shared" si="121"/>
        <v>3.2473918028188109E-2</v>
      </c>
      <c r="X358">
        <f t="shared" si="122"/>
        <v>1.7235748416624119E-3</v>
      </c>
    </row>
    <row r="359" spans="2:24" x14ac:dyDescent="0.25">
      <c r="B359">
        <f t="shared" si="111"/>
        <v>344</v>
      </c>
      <c r="C359">
        <f t="shared" si="112"/>
        <v>298.18493489560024</v>
      </c>
      <c r="D359">
        <f t="shared" si="113"/>
        <v>3.2635043692198107E-2</v>
      </c>
      <c r="F359">
        <f t="shared" si="109"/>
        <v>344</v>
      </c>
      <c r="G359">
        <f t="shared" si="110"/>
        <v>298.15104726361125</v>
      </c>
      <c r="H359">
        <f t="shared" si="103"/>
        <v>3.3242927902010208E-2</v>
      </c>
      <c r="I359">
        <f t="shared" si="104"/>
        <v>298.18429019151324</v>
      </c>
      <c r="J359">
        <f t="shared" si="105"/>
        <v>3.264660903026137E-2</v>
      </c>
      <c r="L359">
        <f t="shared" si="114"/>
        <v>344</v>
      </c>
      <c r="M359">
        <f t="shared" si="115"/>
        <v>298.15274200971561</v>
      </c>
      <c r="N359">
        <f t="shared" si="116"/>
        <v>3.3212528391428985E-2</v>
      </c>
      <c r="O359">
        <f t="shared" si="117"/>
        <v>3.2914646605611164E-2</v>
      </c>
      <c r="P359">
        <f t="shared" si="118"/>
        <v>3.2917318350599488E-2</v>
      </c>
      <c r="Q359">
        <f t="shared" si="119"/>
        <v>3.2622048085287493E-2</v>
      </c>
      <c r="S359">
        <f t="shared" si="120"/>
        <v>344</v>
      </c>
      <c r="T359">
        <f t="shared" si="106"/>
        <v>298.18493489560024</v>
      </c>
      <c r="U359">
        <f t="shared" si="107"/>
        <v>298.15104726361125</v>
      </c>
      <c r="V359">
        <f t="shared" si="108"/>
        <v>298.15274200971561</v>
      </c>
      <c r="W359">
        <f t="shared" si="121"/>
        <v>3.2192885884626321E-2</v>
      </c>
      <c r="X359">
        <f t="shared" si="122"/>
        <v>1.6947461043628209E-3</v>
      </c>
    </row>
    <row r="360" spans="2:24" x14ac:dyDescent="0.25">
      <c r="B360">
        <f t="shared" si="111"/>
        <v>345</v>
      </c>
      <c r="C360">
        <f t="shared" si="112"/>
        <v>298.21756993929245</v>
      </c>
      <c r="D360">
        <f t="shared" si="113"/>
        <v>3.2049579425522723E-2</v>
      </c>
      <c r="F360">
        <f t="shared" si="109"/>
        <v>345</v>
      </c>
      <c r="G360">
        <f t="shared" si="110"/>
        <v>298.18399203207736</v>
      </c>
      <c r="H360">
        <f t="shared" si="103"/>
        <v>3.2651957702047658E-2</v>
      </c>
      <c r="I360">
        <f t="shared" si="104"/>
        <v>298.21664398977941</v>
      </c>
      <c r="J360">
        <f t="shared" si="105"/>
        <v>3.2066191387340584E-2</v>
      </c>
      <c r="L360">
        <f t="shared" si="114"/>
        <v>345</v>
      </c>
      <c r="M360">
        <f t="shared" si="115"/>
        <v>298.18565842744715</v>
      </c>
      <c r="N360">
        <f t="shared" si="116"/>
        <v>3.2622064241521621E-2</v>
      </c>
      <c r="O360">
        <f t="shared" si="117"/>
        <v>3.2329454039621827E-2</v>
      </c>
      <c r="P360">
        <f t="shared" si="118"/>
        <v>3.2332078719674903E-2</v>
      </c>
      <c r="Q360">
        <f t="shared" si="119"/>
        <v>3.2042034248748283E-2</v>
      </c>
      <c r="S360">
        <f t="shared" si="120"/>
        <v>345</v>
      </c>
      <c r="T360">
        <f t="shared" si="106"/>
        <v>298.21756993929245</v>
      </c>
      <c r="U360">
        <f t="shared" si="107"/>
        <v>298.18399203207736</v>
      </c>
      <c r="V360">
        <f t="shared" si="108"/>
        <v>298.18565842744715</v>
      </c>
      <c r="W360">
        <f t="shared" si="121"/>
        <v>3.1911511845294172E-2</v>
      </c>
      <c r="X360">
        <f t="shared" si="122"/>
        <v>1.6663953697957368E-3</v>
      </c>
    </row>
    <row r="361" spans="2:24" x14ac:dyDescent="0.25">
      <c r="B361">
        <f t="shared" si="111"/>
        <v>346</v>
      </c>
      <c r="C361">
        <f t="shared" si="112"/>
        <v>298.24961951871796</v>
      </c>
      <c r="D361">
        <f t="shared" si="113"/>
        <v>3.1474571187861546E-2</v>
      </c>
      <c r="F361">
        <f t="shared" si="109"/>
        <v>346</v>
      </c>
      <c r="G361">
        <f t="shared" si="110"/>
        <v>298.21635110662203</v>
      </c>
      <c r="H361">
        <f t="shared" si="103"/>
        <v>3.2071445838320924E-2</v>
      </c>
      <c r="I361">
        <f t="shared" si="104"/>
        <v>298.24842255246034</v>
      </c>
      <c r="J361">
        <f t="shared" si="105"/>
        <v>3.1496047048989659E-2</v>
      </c>
      <c r="L361">
        <f t="shared" si="114"/>
        <v>346</v>
      </c>
      <c r="M361">
        <f t="shared" si="115"/>
        <v>298.21798962144862</v>
      </c>
      <c r="N361">
        <f t="shared" si="116"/>
        <v>3.2042050121035982E-2</v>
      </c>
      <c r="O361">
        <f t="shared" si="117"/>
        <v>3.1754619066935316E-2</v>
      </c>
      <c r="P361">
        <f t="shared" si="118"/>
        <v>3.1757197499644237E-2</v>
      </c>
      <c r="Q361">
        <f t="shared" si="119"/>
        <v>3.1472287174734263E-2</v>
      </c>
      <c r="S361">
        <f t="shared" si="120"/>
        <v>346</v>
      </c>
      <c r="T361">
        <f t="shared" si="106"/>
        <v>298.24961951871796</v>
      </c>
      <c r="U361">
        <f t="shared" si="107"/>
        <v>298.21635110662203</v>
      </c>
      <c r="V361">
        <f t="shared" si="108"/>
        <v>298.21798962144862</v>
      </c>
      <c r="W361">
        <f t="shared" si="121"/>
        <v>3.162989726934029E-2</v>
      </c>
      <c r="X361">
        <f t="shared" si="122"/>
        <v>1.6385148265953831E-3</v>
      </c>
    </row>
    <row r="362" spans="2:24" x14ac:dyDescent="0.25">
      <c r="B362">
        <f t="shared" si="111"/>
        <v>347</v>
      </c>
      <c r="C362">
        <f t="shared" si="112"/>
        <v>298.28109408990582</v>
      </c>
      <c r="D362">
        <f t="shared" si="113"/>
        <v>3.090983392401038E-2</v>
      </c>
      <c r="F362">
        <f t="shared" si="109"/>
        <v>347</v>
      </c>
      <c r="G362">
        <f t="shared" si="110"/>
        <v>298.24813485306566</v>
      </c>
      <c r="H362">
        <f t="shared" si="103"/>
        <v>3.1501208916006919E-2</v>
      </c>
      <c r="I362">
        <f t="shared" si="104"/>
        <v>298.27963606198165</v>
      </c>
      <c r="J362">
        <f t="shared" si="105"/>
        <v>3.0935995804038347E-2</v>
      </c>
      <c r="L362">
        <f t="shared" si="114"/>
        <v>347</v>
      </c>
      <c r="M362">
        <f t="shared" si="115"/>
        <v>298.24974594985343</v>
      </c>
      <c r="N362">
        <f t="shared" si="116"/>
        <v>3.1472302767982178E-2</v>
      </c>
      <c r="O362">
        <f t="shared" si="117"/>
        <v>3.1189960016014751E-2</v>
      </c>
      <c r="P362">
        <f t="shared" si="118"/>
        <v>3.1192493005177058E-2</v>
      </c>
      <c r="Q362">
        <f t="shared" si="119"/>
        <v>3.0912626755352789E-2</v>
      </c>
      <c r="S362">
        <f t="shared" si="120"/>
        <v>347</v>
      </c>
      <c r="T362">
        <f t="shared" si="106"/>
        <v>298.28109408990582</v>
      </c>
      <c r="U362">
        <f t="shared" si="107"/>
        <v>298.24813485306566</v>
      </c>
      <c r="V362">
        <f t="shared" si="108"/>
        <v>298.24974594985343</v>
      </c>
      <c r="W362">
        <f t="shared" si="121"/>
        <v>3.1348140052386952E-2</v>
      </c>
      <c r="X362">
        <f t="shared" si="122"/>
        <v>1.6110967877693838E-3</v>
      </c>
    </row>
    <row r="363" spans="2:24" x14ac:dyDescent="0.25">
      <c r="B363">
        <f t="shared" si="111"/>
        <v>348</v>
      </c>
      <c r="C363">
        <f t="shared" si="112"/>
        <v>298.31200392382982</v>
      </c>
      <c r="D363">
        <f t="shared" si="113"/>
        <v>3.0355185793568183E-2</v>
      </c>
      <c r="F363">
        <f t="shared" si="109"/>
        <v>348</v>
      </c>
      <c r="G363">
        <f t="shared" si="110"/>
        <v>298.27935345542568</v>
      </c>
      <c r="H363">
        <f t="shared" si="103"/>
        <v>3.0941066696315599E-2</v>
      </c>
      <c r="I363">
        <f t="shared" si="104"/>
        <v>298.31029452212198</v>
      </c>
      <c r="J363">
        <f t="shared" si="105"/>
        <v>3.0385860544739324E-2</v>
      </c>
      <c r="L363">
        <f t="shared" si="114"/>
        <v>348</v>
      </c>
      <c r="M363">
        <f t="shared" si="115"/>
        <v>298.28093758911439</v>
      </c>
      <c r="N363">
        <f t="shared" si="116"/>
        <v>3.0912642074389981E-2</v>
      </c>
      <c r="O363">
        <f t="shared" si="117"/>
        <v>3.0635298343067358E-2</v>
      </c>
      <c r="P363">
        <f t="shared" si="118"/>
        <v>3.0637786678901355E-2</v>
      </c>
      <c r="Q363">
        <f t="shared" si="119"/>
        <v>3.036287598459456E-2</v>
      </c>
      <c r="S363">
        <f t="shared" si="120"/>
        <v>348</v>
      </c>
      <c r="T363">
        <f t="shared" si="106"/>
        <v>298.31200392382982</v>
      </c>
      <c r="U363">
        <f t="shared" si="107"/>
        <v>298.27935345542568</v>
      </c>
      <c r="V363">
        <f t="shared" si="108"/>
        <v>298.28093758911439</v>
      </c>
      <c r="W363">
        <f t="shared" si="121"/>
        <v>3.1066334715433186E-2</v>
      </c>
      <c r="X363">
        <f t="shared" si="122"/>
        <v>1.5841336887092439E-3</v>
      </c>
    </row>
    <row r="364" spans="2:24" x14ac:dyDescent="0.25">
      <c r="B364">
        <f t="shared" si="111"/>
        <v>349</v>
      </c>
      <c r="C364">
        <f t="shared" si="112"/>
        <v>298.34235910962337</v>
      </c>
      <c r="D364">
        <f t="shared" si="113"/>
        <v>2.9810448117266419E-2</v>
      </c>
      <c r="F364">
        <f t="shared" si="109"/>
        <v>349</v>
      </c>
      <c r="G364">
        <f t="shared" si="110"/>
        <v>298.31001691904623</v>
      </c>
      <c r="H364">
        <f t="shared" si="103"/>
        <v>3.039084204431363E-2</v>
      </c>
      <c r="I364">
        <f t="shared" si="104"/>
        <v>298.34040776109055</v>
      </c>
      <c r="J364">
        <f t="shared" si="105"/>
        <v>2.984546721540126E-2</v>
      </c>
      <c r="L364">
        <f t="shared" si="114"/>
        <v>349</v>
      </c>
      <c r="M364">
        <f t="shared" si="115"/>
        <v>298.31157453713155</v>
      </c>
      <c r="N364">
        <f t="shared" si="116"/>
        <v>3.0362891034167356E-2</v>
      </c>
      <c r="O364">
        <f t="shared" si="117"/>
        <v>3.0090458580294188E-2</v>
      </c>
      <c r="P364">
        <f t="shared" si="118"/>
        <v>3.009290303966428E-2</v>
      </c>
      <c r="Q364">
        <f t="shared" si="119"/>
        <v>2.9822860906975935E-2</v>
      </c>
      <c r="S364">
        <f t="shared" si="120"/>
        <v>349</v>
      </c>
      <c r="T364">
        <f t="shared" si="106"/>
        <v>298.34235910962337</v>
      </c>
      <c r="U364">
        <f t="shared" si="107"/>
        <v>298.31001691904623</v>
      </c>
      <c r="V364">
        <f t="shared" si="108"/>
        <v>298.31157453713155</v>
      </c>
      <c r="W364">
        <f t="shared" si="121"/>
        <v>3.0784572491825202E-2</v>
      </c>
      <c r="X364">
        <f t="shared" si="122"/>
        <v>1.5576180853145161E-3</v>
      </c>
    </row>
    <row r="365" spans="2:24" x14ac:dyDescent="0.25">
      <c r="B365">
        <f t="shared" si="111"/>
        <v>350</v>
      </c>
      <c r="C365">
        <f t="shared" si="112"/>
        <v>298.37216955774062</v>
      </c>
      <c r="D365">
        <f t="shared" si="113"/>
        <v>2.9275445324112883E-2</v>
      </c>
      <c r="F365">
        <f t="shared" si="109"/>
        <v>350</v>
      </c>
      <c r="G365">
        <f t="shared" si="110"/>
        <v>298.34013507367609</v>
      </c>
      <c r="H365">
        <f t="shared" si="103"/>
        <v>2.9850360877565488E-2</v>
      </c>
      <c r="I365">
        <f t="shared" si="104"/>
        <v>298.36998543455366</v>
      </c>
      <c r="J365">
        <f t="shared" si="105"/>
        <v>2.9314644761787786E-2</v>
      </c>
      <c r="L365">
        <f t="shared" si="114"/>
        <v>350</v>
      </c>
      <c r="M365">
        <f t="shared" si="115"/>
        <v>298.34166661632838</v>
      </c>
      <c r="N365">
        <f t="shared" si="116"/>
        <v>2.9822875691752692E-2</v>
      </c>
      <c r="O365">
        <f t="shared" si="117"/>
        <v>2.9555268284933895E-2</v>
      </c>
      <c r="P365">
        <f t="shared" si="118"/>
        <v>2.9557669631550678E-2</v>
      </c>
      <c r="Q365">
        <f t="shared" si="119"/>
        <v>2.9292410566954318E-2</v>
      </c>
      <c r="S365">
        <f t="shared" si="120"/>
        <v>350</v>
      </c>
      <c r="T365">
        <f t="shared" si="106"/>
        <v>298.37216955774062</v>
      </c>
      <c r="U365">
        <f t="shared" si="107"/>
        <v>298.34013507367609</v>
      </c>
      <c r="V365">
        <f t="shared" si="108"/>
        <v>298.34166661632838</v>
      </c>
      <c r="W365">
        <f t="shared" si="121"/>
        <v>3.0502941412237305E-2</v>
      </c>
      <c r="X365">
        <f t="shared" si="122"/>
        <v>1.5315426522874986E-3</v>
      </c>
    </row>
    <row r="366" spans="2:24" x14ac:dyDescent="0.25">
      <c r="B366">
        <f t="shared" si="111"/>
        <v>351</v>
      </c>
      <c r="C366">
        <f t="shared" si="112"/>
        <v>298.40144500306474</v>
      </c>
      <c r="D366">
        <f t="shared" si="113"/>
        <v>2.87500048993631E-2</v>
      </c>
      <c r="F366">
        <f t="shared" si="109"/>
        <v>351</v>
      </c>
      <c r="G366">
        <f t="shared" si="110"/>
        <v>298.36971757649576</v>
      </c>
      <c r="H366">
        <f t="shared" si="103"/>
        <v>2.9319452115500889E-2</v>
      </c>
      <c r="I366">
        <f t="shared" si="104"/>
        <v>298.39903702861125</v>
      </c>
      <c r="J366">
        <f t="shared" si="105"/>
        <v>2.8793225081279454E-2</v>
      </c>
      <c r="L366">
        <f t="shared" si="114"/>
        <v>351</v>
      </c>
      <c r="M366">
        <f t="shared" si="115"/>
        <v>298.37122347667702</v>
      </c>
      <c r="N366">
        <f t="shared" si="116"/>
        <v>2.9292425091522713E-2</v>
      </c>
      <c r="O366">
        <f t="shared" si="117"/>
        <v>2.9029557989060414E-2</v>
      </c>
      <c r="P366">
        <f t="shared" si="118"/>
        <v>2.9031916973701326E-2</v>
      </c>
      <c r="Q366">
        <f t="shared" si="119"/>
        <v>2.8771356959121377E-2</v>
      </c>
      <c r="S366">
        <f t="shared" si="120"/>
        <v>351</v>
      </c>
      <c r="T366">
        <f t="shared" si="106"/>
        <v>298.40144500306474</v>
      </c>
      <c r="U366">
        <f t="shared" si="107"/>
        <v>298.36971757649576</v>
      </c>
      <c r="V366">
        <f t="shared" si="108"/>
        <v>298.37122347667702</v>
      </c>
      <c r="W366">
        <f t="shared" si="121"/>
        <v>3.0221526387720132E-2</v>
      </c>
      <c r="X366">
        <f t="shared" si="122"/>
        <v>1.5059001812574024E-3</v>
      </c>
    </row>
    <row r="367" spans="2:24" x14ac:dyDescent="0.25">
      <c r="B367">
        <f t="shared" si="111"/>
        <v>352</v>
      </c>
      <c r="C367">
        <f t="shared" si="112"/>
        <v>298.43019500796407</v>
      </c>
      <c r="D367">
        <f t="shared" si="113"/>
        <v>2.8233957333262776E-2</v>
      </c>
      <c r="F367">
        <f t="shared" si="109"/>
        <v>352</v>
      </c>
      <c r="G367">
        <f t="shared" si="110"/>
        <v>298.39877391509413</v>
      </c>
      <c r="H367">
        <f t="shared" si="103"/>
        <v>2.8797947629593864E-2</v>
      </c>
      <c r="I367">
        <f t="shared" si="104"/>
        <v>298.42757186272371</v>
      </c>
      <c r="J367">
        <f t="shared" si="105"/>
        <v>2.8281042973797101E-2</v>
      </c>
      <c r="L367">
        <f t="shared" si="114"/>
        <v>352</v>
      </c>
      <c r="M367">
        <f t="shared" si="115"/>
        <v>298.40025459867303</v>
      </c>
      <c r="N367">
        <f t="shared" si="116"/>
        <v>2.8771371227995415E-2</v>
      </c>
      <c r="O367">
        <f t="shared" si="117"/>
        <v>2.8513161150161098E-2</v>
      </c>
      <c r="P367">
        <f t="shared" si="118"/>
        <v>2.8515478510868154E-2</v>
      </c>
      <c r="Q367">
        <f t="shared" si="119"/>
        <v>2.8259534979143526E-2</v>
      </c>
      <c r="S367">
        <f t="shared" si="120"/>
        <v>352</v>
      </c>
      <c r="T367">
        <f t="shared" si="106"/>
        <v>298.43019500796407</v>
      </c>
      <c r="U367">
        <f t="shared" si="107"/>
        <v>298.39877391509413</v>
      </c>
      <c r="V367">
        <f t="shared" si="108"/>
        <v>298.40025459867303</v>
      </c>
      <c r="W367">
        <f t="shared" si="121"/>
        <v>2.9940409291043579E-2</v>
      </c>
      <c r="X367">
        <f t="shared" si="122"/>
        <v>1.4806835789045181E-3</v>
      </c>
    </row>
    <row r="368" spans="2:24" x14ac:dyDescent="0.25">
      <c r="B368">
        <f t="shared" si="111"/>
        <v>353</v>
      </c>
      <c r="C368">
        <f t="shared" si="112"/>
        <v>298.45842896529734</v>
      </c>
      <c r="D368">
        <f t="shared" si="113"/>
        <v>2.7727136070585599E-2</v>
      </c>
      <c r="F368">
        <f t="shared" si="109"/>
        <v>353</v>
      </c>
      <c r="G368">
        <f t="shared" si="110"/>
        <v>298.42731341039581</v>
      </c>
      <c r="H368">
        <f t="shared" si="103"/>
        <v>2.8285682194271331E-2</v>
      </c>
      <c r="I368">
        <f t="shared" si="104"/>
        <v>298.45559909259009</v>
      </c>
      <c r="J368">
        <f t="shared" si="105"/>
        <v>2.7777936093480983E-2</v>
      </c>
      <c r="L368">
        <f t="shared" si="114"/>
        <v>353</v>
      </c>
      <c r="M368">
        <f t="shared" si="115"/>
        <v>298.42876929626124</v>
      </c>
      <c r="N368">
        <f t="shared" si="116"/>
        <v>2.8259548996756208E-2</v>
      </c>
      <c r="O368">
        <f t="shared" si="117"/>
        <v>2.8005914102447706E-2</v>
      </c>
      <c r="P368">
        <f t="shared" si="118"/>
        <v>2.8008190564733609E-2</v>
      </c>
      <c r="Q368">
        <f t="shared" si="119"/>
        <v>2.7756782375453867E-2</v>
      </c>
      <c r="S368">
        <f t="shared" si="120"/>
        <v>353</v>
      </c>
      <c r="T368">
        <f t="shared" si="106"/>
        <v>298.45842896529734</v>
      </c>
      <c r="U368">
        <f t="shared" si="107"/>
        <v>298.42731341039581</v>
      </c>
      <c r="V368">
        <f t="shared" si="108"/>
        <v>298.42876929626124</v>
      </c>
      <c r="W368">
        <f t="shared" si="121"/>
        <v>2.9659669036107061E-2</v>
      </c>
      <c r="X368">
        <f t="shared" si="122"/>
        <v>1.4558858654254436E-3</v>
      </c>
    </row>
    <row r="369" spans="2:24" x14ac:dyDescent="0.25">
      <c r="B369">
        <f t="shared" si="111"/>
        <v>354</v>
      </c>
      <c r="C369">
        <f t="shared" si="112"/>
        <v>298.48615610136795</v>
      </c>
      <c r="D369">
        <f t="shared" si="113"/>
        <v>2.7229377460961594E-2</v>
      </c>
      <c r="F369">
        <f t="shared" si="109"/>
        <v>354</v>
      </c>
      <c r="G369">
        <f t="shared" si="110"/>
        <v>298.45534521953971</v>
      </c>
      <c r="H369">
        <f t="shared" si="103"/>
        <v>2.7782493438590093E-2</v>
      </c>
      <c r="I369">
        <f t="shared" si="104"/>
        <v>298.48312771297827</v>
      </c>
      <c r="J369">
        <f t="shared" si="105"/>
        <v>2.7283744901097102E-2</v>
      </c>
      <c r="L369">
        <f t="shared" si="114"/>
        <v>354</v>
      </c>
      <c r="M369">
        <f t="shared" si="115"/>
        <v>298.45677671971231</v>
      </c>
      <c r="N369">
        <f t="shared" si="116"/>
        <v>2.7756796146166527E-2</v>
      </c>
      <c r="O369">
        <f t="shared" si="117"/>
        <v>2.7507656008923652E-2</v>
      </c>
      <c r="P369">
        <f t="shared" si="118"/>
        <v>2.7509892285971733E-2</v>
      </c>
      <c r="Q369">
        <f t="shared" si="119"/>
        <v>2.726293970168121E-2</v>
      </c>
      <c r="S369">
        <f t="shared" si="120"/>
        <v>354</v>
      </c>
      <c r="T369">
        <f t="shared" si="106"/>
        <v>298.48615610136795</v>
      </c>
      <c r="U369">
        <f t="shared" si="107"/>
        <v>298.45534521953971</v>
      </c>
      <c r="V369">
        <f t="shared" si="108"/>
        <v>298.45677671971231</v>
      </c>
      <c r="W369">
        <f t="shared" si="121"/>
        <v>2.9379381655644465E-2</v>
      </c>
      <c r="X369">
        <f t="shared" si="122"/>
        <v>1.4315001726004084E-3</v>
      </c>
    </row>
    <row r="370" spans="2:24" x14ac:dyDescent="0.25">
      <c r="B370">
        <f t="shared" si="111"/>
        <v>355</v>
      </c>
      <c r="C370">
        <f t="shared" si="112"/>
        <v>298.51338547882892</v>
      </c>
      <c r="D370">
        <f t="shared" si="113"/>
        <v>2.6740520709962044E-2</v>
      </c>
      <c r="F370">
        <f t="shared" si="109"/>
        <v>355</v>
      </c>
      <c r="G370">
        <f t="shared" si="110"/>
        <v>298.48287833870955</v>
      </c>
      <c r="H370">
        <f t="shared" si="103"/>
        <v>2.7288221798630722E-2</v>
      </c>
      <c r="I370">
        <f t="shared" si="104"/>
        <v>298.5101665605082</v>
      </c>
      <c r="J370">
        <f t="shared" si="105"/>
        <v>2.6798312617184059E-2</v>
      </c>
      <c r="L370">
        <f t="shared" si="114"/>
        <v>355</v>
      </c>
      <c r="M370">
        <f t="shared" si="115"/>
        <v>298.48428585845193</v>
      </c>
      <c r="N370">
        <f t="shared" si="116"/>
        <v>2.726295322978332E-2</v>
      </c>
      <c r="O370">
        <f t="shared" si="117"/>
        <v>2.701822881418749E-2</v>
      </c>
      <c r="P370">
        <f t="shared" si="118"/>
        <v>2.7020425607052822E-2</v>
      </c>
      <c r="Q370">
        <f t="shared" si="119"/>
        <v>2.677785026982183E-2</v>
      </c>
      <c r="S370">
        <f t="shared" si="120"/>
        <v>355</v>
      </c>
      <c r="T370">
        <f t="shared" si="106"/>
        <v>298.51338547882892</v>
      </c>
      <c r="U370">
        <f t="shared" si="107"/>
        <v>298.48287833870955</v>
      </c>
      <c r="V370">
        <f t="shared" si="108"/>
        <v>298.48428585845193</v>
      </c>
      <c r="W370">
        <f t="shared" si="121"/>
        <v>2.9099620376996427E-2</v>
      </c>
      <c r="X370">
        <f t="shared" si="122"/>
        <v>1.4075197423721875E-3</v>
      </c>
    </row>
    <row r="371" spans="2:24" x14ac:dyDescent="0.25">
      <c r="B371">
        <f t="shared" si="111"/>
        <v>356</v>
      </c>
      <c r="C371">
        <f t="shared" si="112"/>
        <v>298.54012599953887</v>
      </c>
      <c r="D371">
        <f t="shared" si="113"/>
        <v>2.6260407830943151E-2</v>
      </c>
      <c r="F371">
        <f t="shared" si="109"/>
        <v>356</v>
      </c>
      <c r="G371">
        <f t="shared" si="110"/>
        <v>298.50992160591744</v>
      </c>
      <c r="H371">
        <f t="shared" si="103"/>
        <v>2.6802710470644066E-2</v>
      </c>
      <c r="I371">
        <f t="shared" si="104"/>
        <v>298.53672431638807</v>
      </c>
      <c r="J371">
        <f t="shared" si="105"/>
        <v>2.6321485175919677E-2</v>
      </c>
      <c r="L371">
        <f t="shared" si="114"/>
        <v>356</v>
      </c>
      <c r="M371">
        <f t="shared" si="115"/>
        <v>298.5113055438423</v>
      </c>
      <c r="N371">
        <f t="shared" si="116"/>
        <v>2.6777863559530875E-2</v>
      </c>
      <c r="O371">
        <f t="shared" si="117"/>
        <v>2.6537477197950455E-2</v>
      </c>
      <c r="P371">
        <f t="shared" si="118"/>
        <v>2.6539635195757166E-2</v>
      </c>
      <c r="Q371">
        <f t="shared" si="119"/>
        <v>2.630136010412E-2</v>
      </c>
      <c r="S371">
        <f t="shared" si="120"/>
        <v>356</v>
      </c>
      <c r="T371">
        <f t="shared" si="106"/>
        <v>298.54012599953887</v>
      </c>
      <c r="U371">
        <f t="shared" si="107"/>
        <v>298.50992160591744</v>
      </c>
      <c r="V371">
        <f t="shared" si="108"/>
        <v>298.5113055438423</v>
      </c>
      <c r="W371">
        <f t="shared" si="121"/>
        <v>2.8820455696575209E-2</v>
      </c>
      <c r="X371">
        <f t="shared" si="122"/>
        <v>1.383937924856582E-3</v>
      </c>
    </row>
    <row r="372" spans="2:24" x14ac:dyDescent="0.25">
      <c r="B372">
        <f t="shared" si="111"/>
        <v>357</v>
      </c>
      <c r="C372">
        <f t="shared" si="112"/>
        <v>298.56638640736981</v>
      </c>
      <c r="D372">
        <f t="shared" si="113"/>
        <v>2.5788883597647229E-2</v>
      </c>
      <c r="F372">
        <f t="shared" si="109"/>
        <v>357</v>
      </c>
      <c r="G372">
        <f t="shared" si="110"/>
        <v>298.53648370374071</v>
      </c>
      <c r="H372">
        <f t="shared" si="103"/>
        <v>2.6325805364910422E-2</v>
      </c>
      <c r="I372">
        <f t="shared" si="104"/>
        <v>298.56280950910565</v>
      </c>
      <c r="J372">
        <f t="shared" si="105"/>
        <v>2.5853111179685171E-2</v>
      </c>
      <c r="L372">
        <f t="shared" si="114"/>
        <v>357</v>
      </c>
      <c r="M372">
        <f t="shared" si="115"/>
        <v>298.53784445191746</v>
      </c>
      <c r="N372">
        <f t="shared" si="116"/>
        <v>2.6301373159578964E-2</v>
      </c>
      <c r="O372">
        <f t="shared" si="117"/>
        <v>2.6065248529295249E-2</v>
      </c>
      <c r="P372">
        <f t="shared" si="118"/>
        <v>2.6067368409417917E-2</v>
      </c>
      <c r="Q372">
        <f t="shared" si="119"/>
        <v>2.5833317895655447E-2</v>
      </c>
      <c r="S372">
        <f t="shared" si="120"/>
        <v>357</v>
      </c>
      <c r="T372">
        <f t="shared" si="106"/>
        <v>298.56638640736981</v>
      </c>
      <c r="U372">
        <f t="shared" si="107"/>
        <v>298.53648370374071</v>
      </c>
      <c r="V372">
        <f t="shared" si="108"/>
        <v>298.53784445191746</v>
      </c>
      <c r="W372">
        <f t="shared" si="121"/>
        <v>2.8541955452340062E-2</v>
      </c>
      <c r="X372">
        <f t="shared" si="122"/>
        <v>1.3607481767508034E-3</v>
      </c>
    </row>
    <row r="373" spans="2:24" x14ac:dyDescent="0.25">
      <c r="B373">
        <f t="shared" si="111"/>
        <v>358</v>
      </c>
      <c r="C373">
        <f t="shared" si="112"/>
        <v>298.59217529096748</v>
      </c>
      <c r="D373">
        <f t="shared" si="113"/>
        <v>2.5325795497540916E-2</v>
      </c>
      <c r="F373">
        <f t="shared" si="109"/>
        <v>358</v>
      </c>
      <c r="G373">
        <f t="shared" si="110"/>
        <v>298.562573162013</v>
      </c>
      <c r="H373">
        <f t="shared" si="103"/>
        <v>2.5857355060305592E-2</v>
      </c>
      <c r="I373">
        <f t="shared" si="104"/>
        <v>298.58843051707328</v>
      </c>
      <c r="J373">
        <f t="shared" si="105"/>
        <v>2.5393041854369941E-2</v>
      </c>
      <c r="L373">
        <f t="shared" si="114"/>
        <v>358</v>
      </c>
      <c r="M373">
        <f t="shared" si="115"/>
        <v>298.56391110607291</v>
      </c>
      <c r="N373">
        <f t="shared" si="116"/>
        <v>2.583333072093735E-2</v>
      </c>
      <c r="O373">
        <f t="shared" si="117"/>
        <v>2.5601392821605076E-2</v>
      </c>
      <c r="P373">
        <f t="shared" si="118"/>
        <v>2.5603475249875177E-2</v>
      </c>
      <c r="Q373">
        <f t="shared" si="119"/>
        <v>2.5373574957659888E-2</v>
      </c>
      <c r="S373">
        <f t="shared" si="120"/>
        <v>358</v>
      </c>
      <c r="T373">
        <f t="shared" si="106"/>
        <v>298.59217529096748</v>
      </c>
      <c r="U373">
        <f t="shared" si="107"/>
        <v>298.562573162013</v>
      </c>
      <c r="V373">
        <f t="shared" si="108"/>
        <v>298.56391110607291</v>
      </c>
      <c r="W373">
        <f t="shared" si="121"/>
        <v>2.8264184894567279E-2</v>
      </c>
      <c r="X373">
        <f t="shared" si="122"/>
        <v>1.3379440599123882E-3</v>
      </c>
    </row>
    <row r="374" spans="2:24" x14ac:dyDescent="0.25">
      <c r="B374">
        <f t="shared" si="111"/>
        <v>359</v>
      </c>
      <c r="C374">
        <f t="shared" si="112"/>
        <v>298.61750108646504</v>
      </c>
      <c r="D374">
        <f t="shared" si="113"/>
        <v>2.4870993685882102E-2</v>
      </c>
      <c r="F374">
        <f t="shared" si="109"/>
        <v>359</v>
      </c>
      <c r="G374">
        <f t="shared" si="110"/>
        <v>298.58819836047036</v>
      </c>
      <c r="H374">
        <f t="shared" si="103"/>
        <v>2.5397210759583729E-2</v>
      </c>
      <c r="I374">
        <f t="shared" si="104"/>
        <v>298.61359557122995</v>
      </c>
      <c r="J374">
        <f t="shared" si="105"/>
        <v>2.4941131005326973E-2</v>
      </c>
      <c r="L374">
        <f t="shared" si="114"/>
        <v>359</v>
      </c>
      <c r="M374">
        <f t="shared" si="115"/>
        <v>298.58951387970984</v>
      </c>
      <c r="N374">
        <f t="shared" si="116"/>
        <v>2.5373587556770074E-2</v>
      </c>
      <c r="O374">
        <f t="shared" si="117"/>
        <v>2.5145762688240085E-2</v>
      </c>
      <c r="P374">
        <f t="shared" si="118"/>
        <v>2.5147808319117441E-2</v>
      </c>
      <c r="Q374">
        <f t="shared" si="119"/>
        <v>2.4921985181501228E-2</v>
      </c>
      <c r="S374">
        <f t="shared" si="120"/>
        <v>359</v>
      </c>
      <c r="T374">
        <f t="shared" si="106"/>
        <v>298.61750108646504</v>
      </c>
      <c r="U374">
        <f t="shared" si="107"/>
        <v>298.58819836047036</v>
      </c>
      <c r="V374">
        <f t="shared" si="108"/>
        <v>298.58951387970984</v>
      </c>
      <c r="W374">
        <f t="shared" si="121"/>
        <v>2.7987206755199168E-2</v>
      </c>
      <c r="X374">
        <f t="shared" si="122"/>
        <v>1.3155192394833648E-3</v>
      </c>
    </row>
    <row r="375" spans="2:24" x14ac:dyDescent="0.25">
      <c r="B375">
        <f t="shared" si="111"/>
        <v>360</v>
      </c>
      <c r="C375">
        <f t="shared" si="112"/>
        <v>298.64237208015095</v>
      </c>
      <c r="D375">
        <f t="shared" si="113"/>
        <v>2.4424330940522748E-2</v>
      </c>
      <c r="F375">
        <f t="shared" si="109"/>
        <v>360</v>
      </c>
      <c r="G375">
        <f t="shared" si="110"/>
        <v>298.61336753135282</v>
      </c>
      <c r="H375">
        <f t="shared" si="103"/>
        <v>2.4945226245348749E-2</v>
      </c>
      <c r="I375">
        <f t="shared" si="104"/>
        <v>298.63831275759816</v>
      </c>
      <c r="J375">
        <f t="shared" si="105"/>
        <v>2.4497234974055163E-2</v>
      </c>
      <c r="L375">
        <f t="shared" si="114"/>
        <v>360</v>
      </c>
      <c r="M375">
        <f t="shared" si="115"/>
        <v>298.61466099883535</v>
      </c>
      <c r="N375">
        <f t="shared" si="116"/>
        <v>2.4921997558379563E-2</v>
      </c>
      <c r="O375">
        <f t="shared" si="117"/>
        <v>2.4698213298856356E-2</v>
      </c>
      <c r="P375">
        <f t="shared" si="118"/>
        <v>2.470022277562044E-2</v>
      </c>
      <c r="Q375">
        <f t="shared" si="119"/>
        <v>2.4478404993375516E-2</v>
      </c>
      <c r="S375">
        <f t="shared" si="120"/>
        <v>360</v>
      </c>
      <c r="T375">
        <f t="shared" si="106"/>
        <v>298.64237208015095</v>
      </c>
      <c r="U375">
        <f t="shared" si="107"/>
        <v>298.61336753135282</v>
      </c>
      <c r="V375">
        <f t="shared" si="108"/>
        <v>298.61466099883535</v>
      </c>
      <c r="W375">
        <f t="shared" si="121"/>
        <v>2.7711081315601405E-2</v>
      </c>
      <c r="X375">
        <f t="shared" si="122"/>
        <v>1.2934674825260117E-3</v>
      </c>
    </row>
    <row r="376" spans="2:24" x14ac:dyDescent="0.25">
      <c r="B376">
        <f t="shared" si="111"/>
        <v>361</v>
      </c>
      <c r="C376">
        <f t="shared" si="112"/>
        <v>298.66679641109147</v>
      </c>
      <c r="D376">
        <f t="shared" si="113"/>
        <v>2.3985662617398252E-2</v>
      </c>
      <c r="F376">
        <f t="shared" si="109"/>
        <v>361</v>
      </c>
      <c r="G376">
        <f t="shared" si="110"/>
        <v>298.63808876196254</v>
      </c>
      <c r="H376">
        <f t="shared" si="103"/>
        <v>2.4501257836707389E-2</v>
      </c>
      <c r="I376">
        <f t="shared" si="104"/>
        <v>298.66259001979927</v>
      </c>
      <c r="J376">
        <f t="shared" si="105"/>
        <v>2.4061212595529641E-2</v>
      </c>
      <c r="L376">
        <f t="shared" si="114"/>
        <v>361</v>
      </c>
      <c r="M376">
        <f t="shared" si="115"/>
        <v>298.6393605446188</v>
      </c>
      <c r="N376">
        <f t="shared" si="116"/>
        <v>2.4478417151891585E-2</v>
      </c>
      <c r="O376">
        <f t="shared" si="117"/>
        <v>2.4258602336448241E-2</v>
      </c>
      <c r="P376">
        <f t="shared" si="118"/>
        <v>2.4260576291383326E-2</v>
      </c>
      <c r="Q376">
        <f t="shared" si="119"/>
        <v>2.4042693311657194E-2</v>
      </c>
      <c r="S376">
        <f t="shared" si="120"/>
        <v>361</v>
      </c>
      <c r="T376">
        <f t="shared" si="106"/>
        <v>298.66679641109147</v>
      </c>
      <c r="U376">
        <f t="shared" si="107"/>
        <v>298.63808876196254</v>
      </c>
      <c r="V376">
        <f t="shared" si="108"/>
        <v>298.6393605446188</v>
      </c>
      <c r="W376">
        <f t="shared" si="121"/>
        <v>2.7435866472671933E-2</v>
      </c>
      <c r="X376">
        <f t="shared" si="122"/>
        <v>1.2717826562607115E-3</v>
      </c>
    </row>
    <row r="377" spans="2:24" x14ac:dyDescent="0.25">
      <c r="B377">
        <f t="shared" si="111"/>
        <v>362</v>
      </c>
      <c r="C377">
        <f t="shared" si="112"/>
        <v>298.69078207370887</v>
      </c>
      <c r="D377">
        <f t="shared" si="113"/>
        <v>2.3554846606745866E-2</v>
      </c>
      <c r="F377">
        <f t="shared" si="109"/>
        <v>362</v>
      </c>
      <c r="G377">
        <f t="shared" si="110"/>
        <v>298.66236999717864</v>
      </c>
      <c r="H377">
        <f t="shared" si="103"/>
        <v>2.4065164346620298E-2</v>
      </c>
      <c r="I377">
        <f t="shared" si="104"/>
        <v>298.68643516152525</v>
      </c>
      <c r="J377">
        <f t="shared" si="105"/>
        <v>2.3632925156222753E-2</v>
      </c>
      <c r="L377">
        <f t="shared" si="114"/>
        <v>362</v>
      </c>
      <c r="M377">
        <f t="shared" si="115"/>
        <v>298.66362045590535</v>
      </c>
      <c r="N377">
        <f t="shared" si="116"/>
        <v>2.4042705255617136E-2</v>
      </c>
      <c r="O377">
        <f t="shared" si="117"/>
        <v>2.382678995503066E-2</v>
      </c>
      <c r="P377">
        <f t="shared" si="118"/>
        <v>2.3828729009599783E-2</v>
      </c>
      <c r="Q377">
        <f t="shared" si="119"/>
        <v>2.361471150494442E-2</v>
      </c>
      <c r="S377">
        <f t="shared" si="120"/>
        <v>362</v>
      </c>
      <c r="T377">
        <f t="shared" si="106"/>
        <v>298.69078207370887</v>
      </c>
      <c r="U377">
        <f t="shared" si="107"/>
        <v>298.66236999717864</v>
      </c>
      <c r="V377">
        <f t="shared" si="108"/>
        <v>298.66362045590535</v>
      </c>
      <c r="W377">
        <f t="shared" si="121"/>
        <v>2.716161780352877E-2</v>
      </c>
      <c r="X377">
        <f t="shared" si="122"/>
        <v>1.2504587267017087E-3</v>
      </c>
    </row>
    <row r="378" spans="2:24" x14ac:dyDescent="0.25">
      <c r="B378">
        <f t="shared" si="111"/>
        <v>363</v>
      </c>
      <c r="C378">
        <f t="shared" si="112"/>
        <v>298.71433692031565</v>
      </c>
      <c r="D378">
        <f t="shared" si="113"/>
        <v>2.3131743290006931E-2</v>
      </c>
      <c r="F378">
        <f t="shared" si="109"/>
        <v>363</v>
      </c>
      <c r="G378">
        <f t="shared" si="110"/>
        <v>298.68621904193009</v>
      </c>
      <c r="H378">
        <f t="shared" si="103"/>
        <v>2.3636807039891246E-2</v>
      </c>
      <c r="I378">
        <f t="shared" si="104"/>
        <v>298.70985584896999</v>
      </c>
      <c r="J378">
        <f t="shared" si="105"/>
        <v>2.3212236352760249E-2</v>
      </c>
      <c r="L378">
        <f t="shared" si="114"/>
        <v>363</v>
      </c>
      <c r="M378">
        <f t="shared" si="115"/>
        <v>298.68744853168698</v>
      </c>
      <c r="N378">
        <f t="shared" si="116"/>
        <v>2.3614723238086208E-2</v>
      </c>
      <c r="O378">
        <f t="shared" si="117"/>
        <v>2.3402638738017977E-2</v>
      </c>
      <c r="P378">
        <f t="shared" si="118"/>
        <v>2.3404543503039998E-2</v>
      </c>
      <c r="Q378">
        <f t="shared" si="119"/>
        <v>2.3194323350728307E-2</v>
      </c>
      <c r="S378">
        <f t="shared" si="120"/>
        <v>363</v>
      </c>
      <c r="T378">
        <f t="shared" si="106"/>
        <v>298.71433692031565</v>
      </c>
      <c r="U378">
        <f t="shared" si="107"/>
        <v>298.68621904193009</v>
      </c>
      <c r="V378">
        <f t="shared" si="108"/>
        <v>298.68744853168698</v>
      </c>
      <c r="W378">
        <f t="shared" si="121"/>
        <v>2.6888388628663051E-2</v>
      </c>
      <c r="X378">
        <f t="shared" si="122"/>
        <v>1.2294897568949636E-3</v>
      </c>
    </row>
    <row r="379" spans="2:24" x14ac:dyDescent="0.25">
      <c r="B379">
        <f t="shared" si="111"/>
        <v>364</v>
      </c>
      <c r="C379">
        <f t="shared" si="112"/>
        <v>298.73746866360563</v>
      </c>
      <c r="D379">
        <f t="shared" si="113"/>
        <v>2.2716215497412172E-2</v>
      </c>
      <c r="F379">
        <f t="shared" si="109"/>
        <v>364</v>
      </c>
      <c r="G379">
        <f t="shared" si="110"/>
        <v>298.7096435636264</v>
      </c>
      <c r="H379">
        <f t="shared" si="103"/>
        <v>2.3216049591839077E-2</v>
      </c>
      <c r="I379">
        <f t="shared" si="104"/>
        <v>298.73285961321824</v>
      </c>
      <c r="J379">
        <f t="shared" si="105"/>
        <v>2.279901225126623E-2</v>
      </c>
      <c r="L379">
        <f t="shared" si="114"/>
        <v>364</v>
      </c>
      <c r="M379">
        <f t="shared" si="115"/>
        <v>298.71085243353212</v>
      </c>
      <c r="N379">
        <f t="shared" si="116"/>
        <v>2.3194334876731081E-2</v>
      </c>
      <c r="O379">
        <f t="shared" si="117"/>
        <v>2.2986013657217211E-2</v>
      </c>
      <c r="P379">
        <f t="shared" si="118"/>
        <v>2.2987884733044816E-2</v>
      </c>
      <c r="Q379">
        <f t="shared" si="119"/>
        <v>2.2781394994748651E-2</v>
      </c>
      <c r="S379">
        <f t="shared" si="120"/>
        <v>364</v>
      </c>
      <c r="T379">
        <f t="shared" si="106"/>
        <v>298.73746866360563</v>
      </c>
      <c r="U379">
        <f t="shared" si="107"/>
        <v>298.7096435636264</v>
      </c>
      <c r="V379">
        <f t="shared" si="108"/>
        <v>298.71085243353212</v>
      </c>
      <c r="W379">
        <f t="shared" si="121"/>
        <v>2.6616230073500446E-2</v>
      </c>
      <c r="X379">
        <f t="shared" si="122"/>
        <v>1.2088699057244412E-3</v>
      </c>
    </row>
    <row r="380" spans="2:24" x14ac:dyDescent="0.25">
      <c r="B380">
        <f t="shared" si="111"/>
        <v>365</v>
      </c>
      <c r="C380">
        <f t="shared" si="112"/>
        <v>298.76018487910306</v>
      </c>
      <c r="D380">
        <f t="shared" si="113"/>
        <v>2.2308128466244692E-2</v>
      </c>
      <c r="F380">
        <f t="shared" si="109"/>
        <v>365</v>
      </c>
      <c r="G380">
        <f t="shared" si="110"/>
        <v>298.73265109454798</v>
      </c>
      <c r="H380">
        <f t="shared" si="103"/>
        <v>2.2802758047627568E-2</v>
      </c>
      <c r="I380">
        <f t="shared" si="104"/>
        <v>298.75545385259562</v>
      </c>
      <c r="J380">
        <f t="shared" si="105"/>
        <v>2.2393121247308179E-2</v>
      </c>
      <c r="L380">
        <f t="shared" si="114"/>
        <v>365</v>
      </c>
      <c r="M380">
        <f t="shared" si="115"/>
        <v>298.73383968797413</v>
      </c>
      <c r="N380">
        <f t="shared" si="116"/>
        <v>2.2781406317227849E-2</v>
      </c>
      <c r="O380">
        <f t="shared" si="117"/>
        <v>2.2576782032525968E-2</v>
      </c>
      <c r="P380">
        <f t="shared" si="118"/>
        <v>2.2578620009212215E-2</v>
      </c>
      <c r="Q380">
        <f t="shared" si="119"/>
        <v>2.2375794910978474E-2</v>
      </c>
      <c r="S380">
        <f t="shared" si="120"/>
        <v>365</v>
      </c>
      <c r="T380">
        <f t="shared" si="106"/>
        <v>298.76018487910306</v>
      </c>
      <c r="U380">
        <f t="shared" si="107"/>
        <v>298.73265109454798</v>
      </c>
      <c r="V380">
        <f t="shared" si="108"/>
        <v>298.73383968797413</v>
      </c>
      <c r="W380">
        <f t="shared" si="121"/>
        <v>2.6345191128939405E-2</v>
      </c>
      <c r="X380">
        <f t="shared" si="122"/>
        <v>1.1885934261499642E-3</v>
      </c>
    </row>
    <row r="381" spans="2:24" x14ac:dyDescent="0.25">
      <c r="B381">
        <f t="shared" si="111"/>
        <v>366</v>
      </c>
      <c r="C381">
        <f t="shared" si="112"/>
        <v>298.78249300756931</v>
      </c>
      <c r="D381">
        <f t="shared" si="113"/>
        <v>2.1907349799781966E-2</v>
      </c>
      <c r="F381">
        <f t="shared" si="109"/>
        <v>366</v>
      </c>
      <c r="G381">
        <f t="shared" si="110"/>
        <v>298.75524903419546</v>
      </c>
      <c r="H381">
        <f t="shared" si="103"/>
        <v>2.2396800782204705E-2</v>
      </c>
      <c r="I381">
        <f t="shared" si="104"/>
        <v>298.77764583497765</v>
      </c>
      <c r="J381">
        <f t="shared" si="105"/>
        <v>2.1994434026511758E-2</v>
      </c>
      <c r="L381">
        <f t="shared" si="114"/>
        <v>366</v>
      </c>
      <c r="M381">
        <f t="shared" si="115"/>
        <v>298.75641768885941</v>
      </c>
      <c r="N381">
        <f t="shared" si="116"/>
        <v>2.2375806033485698E-2</v>
      </c>
      <c r="O381">
        <f t="shared" si="117"/>
        <v>2.217481349219946E-2</v>
      </c>
      <c r="P381">
        <f t="shared" si="118"/>
        <v>2.2176618949672371E-2</v>
      </c>
      <c r="Q381">
        <f t="shared" si="119"/>
        <v>2.1977393862228477E-2</v>
      </c>
      <c r="S381">
        <f t="shared" si="120"/>
        <v>366</v>
      </c>
      <c r="T381">
        <f t="shared" si="106"/>
        <v>298.78249300756931</v>
      </c>
      <c r="U381">
        <f t="shared" si="107"/>
        <v>298.75524903419546</v>
      </c>
      <c r="V381">
        <f t="shared" si="108"/>
        <v>298.75641768885941</v>
      </c>
      <c r="W381">
        <f t="shared" si="121"/>
        <v>2.6075318709899875E-2</v>
      </c>
      <c r="X381">
        <f t="shared" si="122"/>
        <v>1.1686546639566586E-3</v>
      </c>
    </row>
    <row r="382" spans="2:24" x14ac:dyDescent="0.25">
      <c r="B382">
        <f t="shared" si="111"/>
        <v>367</v>
      </c>
      <c r="C382">
        <f t="shared" si="112"/>
        <v>298.8044003573691</v>
      </c>
      <c r="D382">
        <f t="shared" si="113"/>
        <v>2.1513749426875194E-2</v>
      </c>
      <c r="F382">
        <f t="shared" si="109"/>
        <v>367</v>
      </c>
      <c r="G382">
        <f t="shared" si="110"/>
        <v>298.77744465159981</v>
      </c>
      <c r="H382">
        <f t="shared" si="103"/>
        <v>2.1998048460926001E-2</v>
      </c>
      <c r="I382">
        <f t="shared" si="104"/>
        <v>298.79944270006075</v>
      </c>
      <c r="J382">
        <f t="shared" si="105"/>
        <v>2.1602823525786897E-2</v>
      </c>
      <c r="L382">
        <f t="shared" si="114"/>
        <v>367</v>
      </c>
      <c r="M382">
        <f t="shared" si="115"/>
        <v>298.77859369965597</v>
      </c>
      <c r="N382">
        <f t="shared" si="116"/>
        <v>2.1977404788256175E-2</v>
      </c>
      <c r="O382">
        <f t="shared" si="117"/>
        <v>2.1779979933816987E-2</v>
      </c>
      <c r="P382">
        <f t="shared" si="118"/>
        <v>2.1781753442038081E-2</v>
      </c>
      <c r="Q382">
        <f t="shared" si="119"/>
        <v>2.1586064861408422E-2</v>
      </c>
      <c r="S382">
        <f t="shared" si="120"/>
        <v>367</v>
      </c>
      <c r="T382">
        <f t="shared" si="106"/>
        <v>298.8044003573691</v>
      </c>
      <c r="U382">
        <f t="shared" si="107"/>
        <v>298.77744465159981</v>
      </c>
      <c r="V382">
        <f t="shared" si="108"/>
        <v>298.77859369965597</v>
      </c>
      <c r="W382">
        <f t="shared" si="121"/>
        <v>2.5806657713133063E-2</v>
      </c>
      <c r="X382">
        <f t="shared" si="122"/>
        <v>1.1490480561633376E-3</v>
      </c>
    </row>
    <row r="383" spans="2:24" x14ac:dyDescent="0.25">
      <c r="B383">
        <f t="shared" si="111"/>
        <v>368</v>
      </c>
      <c r="C383">
        <f t="shared" si="112"/>
        <v>298.82591410679601</v>
      </c>
      <c r="D383">
        <f t="shared" si="113"/>
        <v>2.1127199562186033E-2</v>
      </c>
      <c r="F383">
        <f t="shared" si="109"/>
        <v>368</v>
      </c>
      <c r="G383">
        <f t="shared" si="110"/>
        <v>298.79924508759319</v>
      </c>
      <c r="H383">
        <f t="shared" si="103"/>
        <v>2.1606374000748524E-2</v>
      </c>
      <c r="I383">
        <f t="shared" si="104"/>
        <v>298.82085146159392</v>
      </c>
      <c r="J383">
        <f t="shared" si="105"/>
        <v>2.1218164895168139E-2</v>
      </c>
      <c r="L383">
        <f t="shared" si="114"/>
        <v>368</v>
      </c>
      <c r="M383">
        <f t="shared" si="115"/>
        <v>298.80037485572285</v>
      </c>
      <c r="N383">
        <f t="shared" si="116"/>
        <v>2.1586075594392119E-2</v>
      </c>
      <c r="O383">
        <f t="shared" si="117"/>
        <v>2.1392155485817327E-2</v>
      </c>
      <c r="P383">
        <f t="shared" si="118"/>
        <v>2.1393897604950238E-2</v>
      </c>
      <c r="Q383">
        <f t="shared" si="119"/>
        <v>2.1201683133383574E-2</v>
      </c>
      <c r="S383">
        <f t="shared" si="120"/>
        <v>368</v>
      </c>
      <c r="T383">
        <f t="shared" si="106"/>
        <v>298.82591410679601</v>
      </c>
      <c r="U383">
        <f t="shared" si="107"/>
        <v>298.79924508759319</v>
      </c>
      <c r="V383">
        <f t="shared" si="108"/>
        <v>298.80037485572285</v>
      </c>
      <c r="W383">
        <f t="shared" si="121"/>
        <v>2.5539251073155356E-2</v>
      </c>
      <c r="X383">
        <f t="shared" si="122"/>
        <v>1.1297681296582596E-3</v>
      </c>
    </row>
    <row r="384" spans="2:24" x14ac:dyDescent="0.25">
      <c r="B384">
        <f t="shared" si="111"/>
        <v>369</v>
      </c>
      <c r="C384">
        <f t="shared" si="112"/>
        <v>298.84704130635816</v>
      </c>
      <c r="D384">
        <f t="shared" si="113"/>
        <v>2.074757466707668E-2</v>
      </c>
      <c r="F384">
        <f t="shared" si="109"/>
        <v>369</v>
      </c>
      <c r="G384">
        <f t="shared" si="110"/>
        <v>298.82065735704117</v>
      </c>
      <c r="H384">
        <f t="shared" si="103"/>
        <v>2.1221652532091653E-2</v>
      </c>
      <c r="I384">
        <f t="shared" si="104"/>
        <v>298.84187900957329</v>
      </c>
      <c r="J384">
        <f t="shared" si="105"/>
        <v>2.0840335460267295E-2</v>
      </c>
      <c r="L384">
        <f t="shared" si="114"/>
        <v>369</v>
      </c>
      <c r="M384">
        <f t="shared" si="115"/>
        <v>298.82176816654106</v>
      </c>
      <c r="N384">
        <f t="shared" si="116"/>
        <v>2.120169367669231E-2</v>
      </c>
      <c r="O384">
        <f t="shared" si="117"/>
        <v>2.1011216469667689E-2</v>
      </c>
      <c r="P384">
        <f t="shared" si="118"/>
        <v>2.1012927750245249E-2</v>
      </c>
      <c r="Q384">
        <f t="shared" si="119"/>
        <v>2.0824126077432122E-2</v>
      </c>
      <c r="S384">
        <f t="shared" si="120"/>
        <v>369</v>
      </c>
      <c r="T384">
        <f t="shared" si="106"/>
        <v>298.84704130635816</v>
      </c>
      <c r="U384">
        <f t="shared" si="107"/>
        <v>298.82065735704117</v>
      </c>
      <c r="V384">
        <f t="shared" si="108"/>
        <v>298.82176816654106</v>
      </c>
      <c r="W384">
        <f t="shared" si="121"/>
        <v>2.5273139817102219E-2</v>
      </c>
      <c r="X384">
        <f t="shared" si="122"/>
        <v>1.1108094998917295E-3</v>
      </c>
    </row>
    <row r="385" spans="2:24" x14ac:dyDescent="0.25">
      <c r="B385">
        <f t="shared" si="111"/>
        <v>370</v>
      </c>
      <c r="C385">
        <f t="shared" si="112"/>
        <v>298.86778888102526</v>
      </c>
      <c r="D385">
        <f t="shared" si="113"/>
        <v>2.0374751411108595E-2</v>
      </c>
      <c r="F385">
        <f t="shared" si="109"/>
        <v>370</v>
      </c>
      <c r="G385">
        <f t="shared" si="110"/>
        <v>298.84168835103736</v>
      </c>
      <c r="H385">
        <f t="shared" si="103"/>
        <v>2.0843761361276688E-2</v>
      </c>
      <c r="I385">
        <f t="shared" si="104"/>
        <v>298.86253211239864</v>
      </c>
      <c r="J385">
        <f t="shared" si="105"/>
        <v>2.0469214685338865E-2</v>
      </c>
      <c r="L385">
        <f t="shared" si="114"/>
        <v>370</v>
      </c>
      <c r="M385">
        <f t="shared" si="115"/>
        <v>298.8427805179067</v>
      </c>
      <c r="N385">
        <f t="shared" si="116"/>
        <v>2.0824136434384983E-2</v>
      </c>
      <c r="O385">
        <f t="shared" si="117"/>
        <v>2.0637041362652857E-2</v>
      </c>
      <c r="P385">
        <f t="shared" si="118"/>
        <v>2.0638722345725422E-2</v>
      </c>
      <c r="Q385">
        <f t="shared" si="119"/>
        <v>2.0453273230336605E-2</v>
      </c>
      <c r="S385">
        <f t="shared" si="120"/>
        <v>370</v>
      </c>
      <c r="T385">
        <f t="shared" si="106"/>
        <v>298.86778888102526</v>
      </c>
      <c r="U385">
        <f t="shared" si="107"/>
        <v>298.84168835103736</v>
      </c>
      <c r="V385">
        <f t="shared" si="108"/>
        <v>298.8427805179067</v>
      </c>
      <c r="W385">
        <f t="shared" si="121"/>
        <v>2.5008363118558918E-2</v>
      </c>
      <c r="X385">
        <f t="shared" si="122"/>
        <v>1.0921668693413267E-3</v>
      </c>
    </row>
    <row r="386" spans="2:24" x14ac:dyDescent="0.25">
      <c r="B386">
        <f t="shared" si="111"/>
        <v>371</v>
      </c>
      <c r="C386">
        <f t="shared" si="112"/>
        <v>298.88816363243637</v>
      </c>
      <c r="D386">
        <f t="shared" si="113"/>
        <v>2.0008608634183671E-2</v>
      </c>
      <c r="F386">
        <f t="shared" si="109"/>
        <v>371</v>
      </c>
      <c r="G386">
        <f t="shared" si="110"/>
        <v>298.86234483906065</v>
      </c>
      <c r="H386">
        <f t="shared" si="103"/>
        <v>2.0472579933581467E-2</v>
      </c>
      <c r="I386">
        <f t="shared" si="104"/>
        <v>298.88281741899425</v>
      </c>
      <c r="J386">
        <f t="shared" si="105"/>
        <v>2.0104684136912781E-2</v>
      </c>
      <c r="L386">
        <f t="shared" si="114"/>
        <v>371</v>
      </c>
      <c r="M386">
        <f t="shared" si="115"/>
        <v>298.86341867408697</v>
      </c>
      <c r="N386">
        <f t="shared" si="116"/>
        <v>2.0453283404193105E-2</v>
      </c>
      <c r="O386">
        <f t="shared" si="117"/>
        <v>2.0269510761224456E-2</v>
      </c>
      <c r="P386">
        <f t="shared" si="118"/>
        <v>2.0271161978523355E-2</v>
      </c>
      <c r="Q386">
        <f t="shared" si="119"/>
        <v>2.0089006230040771E-2</v>
      </c>
      <c r="S386">
        <f t="shared" si="120"/>
        <v>371</v>
      </c>
      <c r="T386">
        <f t="shared" si="106"/>
        <v>298.88816363243637</v>
      </c>
      <c r="U386">
        <f t="shared" si="107"/>
        <v>298.86234483906065</v>
      </c>
      <c r="V386">
        <f t="shared" si="108"/>
        <v>298.86341867408697</v>
      </c>
      <c r="W386">
        <f t="shared" si="121"/>
        <v>2.4744958349401713E-2</v>
      </c>
      <c r="X386">
        <f t="shared" si="122"/>
        <v>1.0738350263181928E-3</v>
      </c>
    </row>
    <row r="387" spans="2:24" x14ac:dyDescent="0.25">
      <c r="B387">
        <f t="shared" si="111"/>
        <v>372</v>
      </c>
      <c r="C387">
        <f t="shared" si="112"/>
        <v>298.90817224107053</v>
      </c>
      <c r="D387">
        <f t="shared" si="113"/>
        <v>1.9649027309287422E-2</v>
      </c>
      <c r="F387">
        <f t="shared" si="109"/>
        <v>372</v>
      </c>
      <c r="G387">
        <f t="shared" si="110"/>
        <v>298.88263347109591</v>
      </c>
      <c r="H387">
        <f t="shared" si="103"/>
        <v>2.0107989796876686E-2</v>
      </c>
      <c r="I387">
        <f t="shared" si="104"/>
        <v>298.9027414608928</v>
      </c>
      <c r="J387">
        <f t="shared" si="105"/>
        <v>1.9746627448039934E-2</v>
      </c>
      <c r="L387">
        <f t="shared" si="114"/>
        <v>372</v>
      </c>
      <c r="M387">
        <f t="shared" si="115"/>
        <v>298.88368927993923</v>
      </c>
      <c r="N387">
        <f t="shared" si="116"/>
        <v>2.0089016224005538E-2</v>
      </c>
      <c r="O387">
        <f t="shared" si="117"/>
        <v>1.9908507344975266E-2</v>
      </c>
      <c r="P387">
        <f t="shared" si="118"/>
        <v>1.9910129319067198E-2</v>
      </c>
      <c r="Q387">
        <f t="shared" si="119"/>
        <v>1.9731208779890388E-2</v>
      </c>
      <c r="S387">
        <f t="shared" si="120"/>
        <v>372</v>
      </c>
      <c r="T387">
        <f t="shared" si="106"/>
        <v>298.90817224107053</v>
      </c>
      <c r="U387">
        <f t="shared" si="107"/>
        <v>298.88263347109591</v>
      </c>
      <c r="V387">
        <f t="shared" si="108"/>
        <v>298.88368927993923</v>
      </c>
      <c r="W387">
        <f t="shared" si="121"/>
        <v>2.4482961131297998E-2</v>
      </c>
      <c r="X387">
        <f t="shared" si="122"/>
        <v>1.0558088433185731E-3</v>
      </c>
    </row>
    <row r="388" spans="2:24" x14ac:dyDescent="0.25">
      <c r="B388">
        <f t="shared" si="111"/>
        <v>373</v>
      </c>
      <c r="C388">
        <f t="shared" si="112"/>
        <v>298.92782126837983</v>
      </c>
      <c r="D388">
        <f t="shared" si="113"/>
        <v>1.9295890505841531E-2</v>
      </c>
      <c r="F388">
        <f t="shared" si="109"/>
        <v>373</v>
      </c>
      <c r="G388">
        <f t="shared" si="110"/>
        <v>298.90256077971839</v>
      </c>
      <c r="H388">
        <f t="shared" si="103"/>
        <v>1.9749874565858281E-2</v>
      </c>
      <c r="I388">
        <f t="shared" si="104"/>
        <v>298.92231065428422</v>
      </c>
      <c r="J388">
        <f t="shared" si="105"/>
        <v>1.9394930283088058E-2</v>
      </c>
      <c r="L388">
        <f t="shared" si="114"/>
        <v>373</v>
      </c>
      <c r="M388">
        <f t="shared" si="115"/>
        <v>298.90359886299456</v>
      </c>
      <c r="N388">
        <f t="shared" si="116"/>
        <v>1.9731218597108267E-2</v>
      </c>
      <c r="O388">
        <f t="shared" si="117"/>
        <v>1.9553915841169001E-2</v>
      </c>
      <c r="P388">
        <f t="shared" si="118"/>
        <v>1.955550908560616E-2</v>
      </c>
      <c r="Q388">
        <f t="shared" si="119"/>
        <v>1.9379766613460837E-2</v>
      </c>
      <c r="S388">
        <f t="shared" si="120"/>
        <v>373</v>
      </c>
      <c r="T388">
        <f t="shared" si="106"/>
        <v>298.92782126837983</v>
      </c>
      <c r="U388">
        <f t="shared" si="107"/>
        <v>298.90256077971839</v>
      </c>
      <c r="V388">
        <f t="shared" si="108"/>
        <v>298.90359886299456</v>
      </c>
      <c r="W388">
        <f t="shared" si="121"/>
        <v>2.422240538527376E-2</v>
      </c>
      <c r="X388">
        <f t="shared" si="122"/>
        <v>1.0380832761711645E-3</v>
      </c>
    </row>
    <row r="389" spans="2:24" x14ac:dyDescent="0.25">
      <c r="B389">
        <f t="shared" si="111"/>
        <v>374</v>
      </c>
      <c r="C389">
        <f t="shared" si="112"/>
        <v>298.94711715888565</v>
      </c>
      <c r="D389">
        <f t="shared" si="113"/>
        <v>1.8949083353650992E-2</v>
      </c>
      <c r="F389">
        <f t="shared" si="109"/>
        <v>374</v>
      </c>
      <c r="G389">
        <f t="shared" si="110"/>
        <v>298.92213318214289</v>
      </c>
      <c r="H389">
        <f t="shared" si="103"/>
        <v>1.9398119886853932E-2</v>
      </c>
      <c r="I389">
        <f t="shared" si="104"/>
        <v>298.94153130202972</v>
      </c>
      <c r="J389">
        <f t="shared" si="105"/>
        <v>1.9049480303128388E-2</v>
      </c>
      <c r="L389">
        <f t="shared" si="114"/>
        <v>374</v>
      </c>
      <c r="M389">
        <f t="shared" si="115"/>
        <v>298.92315383550522</v>
      </c>
      <c r="N389">
        <f t="shared" si="116"/>
        <v>1.9379776257033576E-2</v>
      </c>
      <c r="O389">
        <f t="shared" si="117"/>
        <v>1.9205622989856314E-2</v>
      </c>
      <c r="P389">
        <f t="shared" si="118"/>
        <v>1.9207188009324687E-2</v>
      </c>
      <c r="Q389">
        <f t="shared" si="119"/>
        <v>1.9034567459960794E-2</v>
      </c>
      <c r="S389">
        <f t="shared" si="120"/>
        <v>374</v>
      </c>
      <c r="T389">
        <f t="shared" si="106"/>
        <v>298.94711715888565</v>
      </c>
      <c r="U389">
        <f t="shared" si="107"/>
        <v>298.92213318214289</v>
      </c>
      <c r="V389">
        <f t="shared" si="108"/>
        <v>298.92315383550522</v>
      </c>
      <c r="W389">
        <f t="shared" si="121"/>
        <v>2.3963323380428392E-2</v>
      </c>
      <c r="X389">
        <f t="shared" si="122"/>
        <v>1.0206533623318137E-3</v>
      </c>
    </row>
    <row r="390" spans="2:24" x14ac:dyDescent="0.25">
      <c r="B390">
        <f t="shared" si="111"/>
        <v>375</v>
      </c>
      <c r="C390">
        <f t="shared" si="112"/>
        <v>298.96606624223932</v>
      </c>
      <c r="D390">
        <f t="shared" si="113"/>
        <v>1.8608493007443536E-2</v>
      </c>
      <c r="F390">
        <f t="shared" si="109"/>
        <v>375</v>
      </c>
      <c r="G390">
        <f t="shared" si="110"/>
        <v>298.94135698223789</v>
      </c>
      <c r="H390">
        <f t="shared" si="103"/>
        <v>1.9052613403184409E-2</v>
      </c>
      <c r="I390">
        <f t="shared" si="104"/>
        <v>298.96040959564107</v>
      </c>
      <c r="J390">
        <f t="shared" si="105"/>
        <v>1.8710167131866962E-2</v>
      </c>
      <c r="L390">
        <f t="shared" si="114"/>
        <v>375</v>
      </c>
      <c r="M390">
        <f t="shared" si="115"/>
        <v>298.94236049645775</v>
      </c>
      <c r="N390">
        <f t="shared" si="116"/>
        <v>1.9034576932927802E-2</v>
      </c>
      <c r="O390">
        <f t="shared" si="117"/>
        <v>1.8863517509536007E-2</v>
      </c>
      <c r="P390">
        <f t="shared" si="118"/>
        <v>1.886505480000663E-2</v>
      </c>
      <c r="Q390">
        <f t="shared" si="119"/>
        <v>1.8695501010169164E-2</v>
      </c>
      <c r="S390">
        <f t="shared" si="120"/>
        <v>375</v>
      </c>
      <c r="T390">
        <f t="shared" si="106"/>
        <v>298.96606624223932</v>
      </c>
      <c r="U390">
        <f t="shared" si="107"/>
        <v>298.94135698223789</v>
      </c>
      <c r="V390">
        <f t="shared" si="108"/>
        <v>298.94236049645775</v>
      </c>
      <c r="W390">
        <f t="shared" si="121"/>
        <v>2.3705745781569476E-2</v>
      </c>
      <c r="X390">
        <f t="shared" si="122"/>
        <v>1.0035142198603353E-3</v>
      </c>
    </row>
    <row r="391" spans="2:24" x14ac:dyDescent="0.25">
      <c r="B391">
        <f t="shared" si="111"/>
        <v>376</v>
      </c>
      <c r="C391">
        <f t="shared" si="112"/>
        <v>298.98467473524676</v>
      </c>
      <c r="D391">
        <f t="shared" si="113"/>
        <v>1.827400861199106E-2</v>
      </c>
      <c r="F391">
        <f t="shared" si="109"/>
        <v>376</v>
      </c>
      <c r="G391">
        <f t="shared" si="110"/>
        <v>298.96023837250544</v>
      </c>
      <c r="H391">
        <f t="shared" si="103"/>
        <v>1.8713244721103202E-2</v>
      </c>
      <c r="I391">
        <f t="shared" si="104"/>
        <v>298.97895161722653</v>
      </c>
      <c r="J391">
        <f t="shared" si="105"/>
        <v>1.8376882322131916E-2</v>
      </c>
      <c r="L391">
        <f t="shared" si="114"/>
        <v>376</v>
      </c>
      <c r="M391">
        <f t="shared" si="115"/>
        <v>298.96122503355144</v>
      </c>
      <c r="N391">
        <f t="shared" si="116"/>
        <v>1.869551031551701E-2</v>
      </c>
      <c r="O391">
        <f t="shared" si="117"/>
        <v>1.8527490063403821E-2</v>
      </c>
      <c r="P391">
        <f t="shared" si="118"/>
        <v>1.8529000112277202E-2</v>
      </c>
      <c r="Q391">
        <f t="shared" si="119"/>
        <v>1.836245888293743E-2</v>
      </c>
      <c r="S391">
        <f t="shared" si="120"/>
        <v>376</v>
      </c>
      <c r="T391">
        <f t="shared" si="106"/>
        <v>298.98467473524676</v>
      </c>
      <c r="U391">
        <f t="shared" si="107"/>
        <v>298.96023837250544</v>
      </c>
      <c r="V391">
        <f t="shared" si="108"/>
        <v>298.96122503355144</v>
      </c>
      <c r="W391">
        <f t="shared" si="121"/>
        <v>2.3449701695312797E-2</v>
      </c>
      <c r="X391">
        <f t="shared" si="122"/>
        <v>9.8666104599942628E-4</v>
      </c>
    </row>
    <row r="392" spans="2:24" x14ac:dyDescent="0.25">
      <c r="B392">
        <f t="shared" si="111"/>
        <v>377</v>
      </c>
      <c r="C392">
        <f t="shared" si="112"/>
        <v>299.00294874385872</v>
      </c>
      <c r="D392">
        <f t="shared" si="113"/>
        <v>1.7945521267786257E-2</v>
      </c>
      <c r="F392">
        <f t="shared" si="109"/>
        <v>377</v>
      </c>
      <c r="G392">
        <f t="shared" si="110"/>
        <v>298.97878343602707</v>
      </c>
      <c r="H392">
        <f t="shared" si="103"/>
        <v>1.8379905376279849E-2</v>
      </c>
      <c r="I392">
        <f t="shared" si="104"/>
        <v>298.99716334140334</v>
      </c>
      <c r="J392">
        <f t="shared" si="105"/>
        <v>1.8049519322908745E-2</v>
      </c>
      <c r="L392">
        <f t="shared" si="114"/>
        <v>377</v>
      </c>
      <c r="M392">
        <f t="shared" si="115"/>
        <v>298.97975352514305</v>
      </c>
      <c r="N392">
        <f t="shared" si="116"/>
        <v>1.8362468023606911E-2</v>
      </c>
      <c r="O392">
        <f t="shared" si="117"/>
        <v>1.8197433226116159E-2</v>
      </c>
      <c r="P392">
        <f t="shared" si="118"/>
        <v>1.8198916512362627E-2</v>
      </c>
      <c r="Q392">
        <f t="shared" si="119"/>
        <v>1.8035334592254714E-2</v>
      </c>
      <c r="S392">
        <f t="shared" si="120"/>
        <v>377</v>
      </c>
      <c r="T392">
        <f t="shared" si="106"/>
        <v>299.00294874385872</v>
      </c>
      <c r="U392">
        <f t="shared" si="107"/>
        <v>298.97878343602707</v>
      </c>
      <c r="V392">
        <f t="shared" si="108"/>
        <v>298.97975352514305</v>
      </c>
      <c r="W392">
        <f t="shared" si="121"/>
        <v>2.3195218715670762E-2</v>
      </c>
      <c r="X392">
        <f t="shared" si="122"/>
        <v>9.7008911598095438E-4</v>
      </c>
    </row>
    <row r="393" spans="2:24" x14ac:dyDescent="0.25">
      <c r="B393">
        <f t="shared" si="111"/>
        <v>378</v>
      </c>
      <c r="C393">
        <f t="shared" si="112"/>
        <v>299.02089426512651</v>
      </c>
      <c r="D393">
        <f t="shared" si="113"/>
        <v>1.7622923997304724E-2</v>
      </c>
      <c r="F393">
        <f t="shared" si="109"/>
        <v>378</v>
      </c>
      <c r="G393">
        <f t="shared" si="110"/>
        <v>298.99699814837669</v>
      </c>
      <c r="H393">
        <f t="shared" si="103"/>
        <v>1.8052488800826747E-2</v>
      </c>
      <c r="I393">
        <f t="shared" si="104"/>
        <v>299.01505063717752</v>
      </c>
      <c r="J393">
        <f t="shared" si="105"/>
        <v>1.7727973446906031E-2</v>
      </c>
      <c r="L393">
        <f t="shared" si="114"/>
        <v>378</v>
      </c>
      <c r="M393">
        <f t="shared" si="115"/>
        <v>298.99795194215852</v>
      </c>
      <c r="N393">
        <f t="shared" si="116"/>
        <v>1.8035343571133636E-2</v>
      </c>
      <c r="O393">
        <f t="shared" si="117"/>
        <v>1.7873241451113794E-2</v>
      </c>
      <c r="P393">
        <f t="shared" si="118"/>
        <v>1.7874698445416452E-2</v>
      </c>
      <c r="Q393">
        <f t="shared" si="119"/>
        <v>1.7714023514816789E-2</v>
      </c>
      <c r="S393">
        <f t="shared" si="120"/>
        <v>378</v>
      </c>
      <c r="T393">
        <f t="shared" si="106"/>
        <v>299.02089426512651</v>
      </c>
      <c r="U393">
        <f t="shared" si="107"/>
        <v>298.99699814837669</v>
      </c>
      <c r="V393">
        <f t="shared" si="108"/>
        <v>298.99795194215852</v>
      </c>
      <c r="W393">
        <f t="shared" si="121"/>
        <v>2.2942322967992368E-2</v>
      </c>
      <c r="X393">
        <f t="shared" si="122"/>
        <v>9.5379378183224617E-4</v>
      </c>
    </row>
    <row r="394" spans="2:24" x14ac:dyDescent="0.25">
      <c r="B394">
        <f t="shared" si="111"/>
        <v>379</v>
      </c>
      <c r="C394">
        <f t="shared" si="112"/>
        <v>299.03851718912381</v>
      </c>
      <c r="D394">
        <f t="shared" si="113"/>
        <v>1.730611171180382E-2</v>
      </c>
      <c r="F394">
        <f t="shared" si="109"/>
        <v>379</v>
      </c>
      <c r="G394">
        <f t="shared" si="110"/>
        <v>299.01488837950058</v>
      </c>
      <c r="H394">
        <f t="shared" si="103"/>
        <v>1.773089029086089E-2</v>
      </c>
      <c r="I394">
        <f t="shared" si="104"/>
        <v>299.03261926979144</v>
      </c>
      <c r="J394">
        <f t="shared" si="105"/>
        <v>1.7412141838664474E-2</v>
      </c>
      <c r="L394">
        <f t="shared" si="114"/>
        <v>379</v>
      </c>
      <c r="M394">
        <f t="shared" si="115"/>
        <v>299.0158261499717</v>
      </c>
      <c r="N394">
        <f t="shared" si="116"/>
        <v>1.7714032334742266E-2</v>
      </c>
      <c r="O394">
        <f t="shared" si="117"/>
        <v>1.7554811038472756E-2</v>
      </c>
      <c r="P394">
        <f t="shared" si="118"/>
        <v>1.7556242203363905E-2</v>
      </c>
      <c r="Q394">
        <f t="shared" si="119"/>
        <v>1.7398422858143657E-2</v>
      </c>
      <c r="S394">
        <f t="shared" si="120"/>
        <v>379</v>
      </c>
      <c r="T394">
        <f t="shared" si="106"/>
        <v>299.03851718912381</v>
      </c>
      <c r="U394">
        <f t="shared" si="107"/>
        <v>299.01488837950058</v>
      </c>
      <c r="V394">
        <f t="shared" si="108"/>
        <v>299.0158261499717</v>
      </c>
      <c r="W394">
        <f t="shared" si="121"/>
        <v>2.2691039152107351E-2</v>
      </c>
      <c r="X394">
        <f t="shared" si="122"/>
        <v>9.3777047112553191E-4</v>
      </c>
    </row>
    <row r="395" spans="2:24" x14ac:dyDescent="0.25">
      <c r="B395">
        <f t="shared" si="111"/>
        <v>380</v>
      </c>
      <c r="C395">
        <f t="shared" si="112"/>
        <v>299.05582330083558</v>
      </c>
      <c r="D395">
        <f t="shared" si="113"/>
        <v>1.6994981178683727E-2</v>
      </c>
      <c r="F395">
        <f t="shared" si="109"/>
        <v>380</v>
      </c>
      <c r="G395">
        <f t="shared" si="110"/>
        <v>299.03245989556535</v>
      </c>
      <c r="H395">
        <f t="shared" si="103"/>
        <v>1.7415006974601875E-2</v>
      </c>
      <c r="I395">
        <f t="shared" si="104"/>
        <v>299.04987490253995</v>
      </c>
      <c r="J395">
        <f t="shared" si="105"/>
        <v>1.7101923443155885E-2</v>
      </c>
      <c r="L395">
        <f t="shared" si="114"/>
        <v>380</v>
      </c>
      <c r="M395">
        <f t="shared" si="115"/>
        <v>299.03338191025114</v>
      </c>
      <c r="N395">
        <f t="shared" si="116"/>
        <v>1.739843152190447E-2</v>
      </c>
      <c r="O395">
        <f t="shared" si="117"/>
        <v>1.7242040103274559E-2</v>
      </c>
      <c r="P395">
        <f t="shared" si="118"/>
        <v>1.7243445893274787E-2</v>
      </c>
      <c r="Q395">
        <f t="shared" si="119"/>
        <v>1.708843162921091E-2</v>
      </c>
      <c r="S395">
        <f t="shared" si="120"/>
        <v>380</v>
      </c>
      <c r="T395">
        <f t="shared" si="106"/>
        <v>299.05582330083558</v>
      </c>
      <c r="U395">
        <f t="shared" si="107"/>
        <v>299.03245989556535</v>
      </c>
      <c r="V395">
        <f t="shared" si="108"/>
        <v>299.03338191025114</v>
      </c>
      <c r="W395">
        <f t="shared" si="121"/>
        <v>2.2441390584447163E-2</v>
      </c>
      <c r="X395">
        <f t="shared" si="122"/>
        <v>9.2201468578423373E-4</v>
      </c>
    </row>
    <row r="396" spans="2:24" x14ac:dyDescent="0.25">
      <c r="B396">
        <f t="shared" si="111"/>
        <v>381</v>
      </c>
      <c r="C396">
        <f t="shared" si="112"/>
        <v>299.07281828201428</v>
      </c>
      <c r="D396">
        <f t="shared" si="113"/>
        <v>1.6689430989370983E-2</v>
      </c>
      <c r="F396">
        <f t="shared" si="109"/>
        <v>381</v>
      </c>
      <c r="G396">
        <f t="shared" si="110"/>
        <v>299.04971836077425</v>
      </c>
      <c r="H396">
        <f t="shared" si="103"/>
        <v>1.7104737780986069E-2</v>
      </c>
      <c r="I396">
        <f t="shared" si="104"/>
        <v>299.06682309855523</v>
      </c>
      <c r="J396">
        <f t="shared" si="105"/>
        <v>1.6797218974932571E-2</v>
      </c>
      <c r="L396">
        <f t="shared" si="114"/>
        <v>381</v>
      </c>
      <c r="M396">
        <f t="shared" si="115"/>
        <v>299.0506248827752</v>
      </c>
      <c r="N396">
        <f t="shared" si="116"/>
        <v>1.7088440139549743E-2</v>
      </c>
      <c r="O396">
        <f t="shared" si="117"/>
        <v>1.6934828544501439E-2</v>
      </c>
      <c r="P396">
        <f t="shared" si="118"/>
        <v>1.6936209406259273E-2</v>
      </c>
      <c r="Q396">
        <f t="shared" si="119"/>
        <v>1.6783950603602927E-2</v>
      </c>
      <c r="S396">
        <f t="shared" si="120"/>
        <v>381</v>
      </c>
      <c r="T396">
        <f t="shared" si="106"/>
        <v>299.07281828201428</v>
      </c>
      <c r="U396">
        <f t="shared" si="107"/>
        <v>299.04971836077425</v>
      </c>
      <c r="V396">
        <f t="shared" si="108"/>
        <v>299.0506248827752</v>
      </c>
      <c r="W396">
        <f t="shared" si="121"/>
        <v>2.219339923908592E-2</v>
      </c>
      <c r="X396">
        <f t="shared" si="122"/>
        <v>9.0652200094609725E-4</v>
      </c>
    </row>
    <row r="397" spans="2:24" x14ac:dyDescent="0.25">
      <c r="B397">
        <f t="shared" si="111"/>
        <v>382</v>
      </c>
      <c r="C397">
        <f t="shared" si="112"/>
        <v>299.08950771300363</v>
      </c>
      <c r="D397">
        <f t="shared" si="113"/>
        <v>1.638936152775201E-2</v>
      </c>
      <c r="F397">
        <f t="shared" si="109"/>
        <v>382</v>
      </c>
      <c r="G397">
        <f t="shared" si="110"/>
        <v>299.06666933915221</v>
      </c>
      <c r="H397">
        <f t="shared" si="103"/>
        <v>1.6799983408790548E-2</v>
      </c>
      <c r="I397">
        <f t="shared" si="104"/>
        <v>299.08346932256103</v>
      </c>
      <c r="J397">
        <f t="shared" si="105"/>
        <v>1.6497930887756435E-2</v>
      </c>
      <c r="L397">
        <f t="shared" si="114"/>
        <v>382</v>
      </c>
      <c r="M397">
        <f t="shared" si="115"/>
        <v>299.06756062721598</v>
      </c>
      <c r="N397">
        <f t="shared" si="116"/>
        <v>1.6783958963213965E-2</v>
      </c>
      <c r="O397">
        <f t="shared" si="117"/>
        <v>1.6633078014445697E-2</v>
      </c>
      <c r="P397">
        <f t="shared" si="118"/>
        <v>1.6634434386853629E-2</v>
      </c>
      <c r="Q397">
        <f t="shared" si="119"/>
        <v>1.6484882295157922E-2</v>
      </c>
      <c r="S397">
        <f t="shared" si="120"/>
        <v>382</v>
      </c>
      <c r="T397">
        <f t="shared" si="106"/>
        <v>299.08950771300363</v>
      </c>
      <c r="U397">
        <f t="shared" si="107"/>
        <v>299.06666933915221</v>
      </c>
      <c r="V397">
        <f t="shared" si="108"/>
        <v>299.06756062721598</v>
      </c>
      <c r="W397">
        <f t="shared" si="121"/>
        <v>2.1947085787644482E-2</v>
      </c>
      <c r="X397">
        <f t="shared" si="122"/>
        <v>8.9128806376947978E-4</v>
      </c>
    </row>
    <row r="398" spans="2:24" x14ac:dyDescent="0.25">
      <c r="B398">
        <f t="shared" si="111"/>
        <v>383</v>
      </c>
      <c r="C398">
        <f t="shared" si="112"/>
        <v>299.10589707453136</v>
      </c>
      <c r="D398">
        <f t="shared" si="113"/>
        <v>1.6094674939107538E-2</v>
      </c>
      <c r="F398">
        <f t="shared" si="109"/>
        <v>383</v>
      </c>
      <c r="G398">
        <f t="shared" si="110"/>
        <v>299.08331829630049</v>
      </c>
      <c r="H398">
        <f t="shared" si="103"/>
        <v>1.6500646296270158E-2</v>
      </c>
      <c r="I398">
        <f t="shared" si="104"/>
        <v>299.09981894259676</v>
      </c>
      <c r="J398">
        <f t="shared" si="105"/>
        <v>1.6203963344744554E-2</v>
      </c>
      <c r="L398">
        <f t="shared" si="114"/>
        <v>383</v>
      </c>
      <c r="M398">
        <f t="shared" si="115"/>
        <v>299.08419460489279</v>
      </c>
      <c r="N398">
        <f t="shared" si="116"/>
        <v>1.648489050668922E-2</v>
      </c>
      <c r="O398">
        <f t="shared" si="117"/>
        <v>1.6336691888598105E-2</v>
      </c>
      <c r="P398">
        <f t="shared" si="118"/>
        <v>1.6338024202940112E-2</v>
      </c>
      <c r="Q398">
        <f t="shared" si="119"/>
        <v>1.6191130926122392E-2</v>
      </c>
      <c r="S398">
        <f t="shared" si="120"/>
        <v>383</v>
      </c>
      <c r="T398">
        <f t="shared" si="106"/>
        <v>299.10589707453136</v>
      </c>
      <c r="U398">
        <f t="shared" si="107"/>
        <v>299.08331829630049</v>
      </c>
      <c r="V398">
        <f t="shared" si="108"/>
        <v>299.08419460489279</v>
      </c>
      <c r="W398">
        <f t="shared" si="121"/>
        <v>2.1702469638569255E-2</v>
      </c>
      <c r="X398">
        <f t="shared" si="122"/>
        <v>8.7630859229648195E-4</v>
      </c>
    </row>
    <row r="399" spans="2:24" x14ac:dyDescent="0.25">
      <c r="B399">
        <f t="shared" si="111"/>
        <v>384</v>
      </c>
      <c r="C399">
        <f t="shared" si="112"/>
        <v>299.12199174947045</v>
      </c>
      <c r="D399">
        <f t="shared" si="113"/>
        <v>1.5805275099586815E-2</v>
      </c>
      <c r="F399">
        <f t="shared" si="109"/>
        <v>384</v>
      </c>
      <c r="G399">
        <f t="shared" si="110"/>
        <v>299.09967060112098</v>
      </c>
      <c r="H399">
        <f t="shared" ref="H399:H462" si="123">0.3*(G399^(3/4))*(1-(G399/300)^(1/4))</f>
        <v>1.6206630591296657E-2</v>
      </c>
      <c r="I399">
        <f t="shared" ref="I399:I462" si="124">G399+$C$10*H399</f>
        <v>299.11587723171226</v>
      </c>
      <c r="J399">
        <f t="shared" ref="J399:J462" si="125">0.3*(I399^(3/4))*(1-(I399/300)^(1/4))</f>
        <v>1.5915222188984026E-2</v>
      </c>
      <c r="L399">
        <f t="shared" si="114"/>
        <v>384</v>
      </c>
      <c r="M399">
        <f t="shared" si="115"/>
        <v>299.10053218049541</v>
      </c>
      <c r="N399">
        <f t="shared" si="116"/>
        <v>1.6191138992173355E-2</v>
      </c>
      <c r="O399">
        <f t="shared" si="117"/>
        <v>1.6045575236056674E-2</v>
      </c>
      <c r="P399">
        <f t="shared" si="118"/>
        <v>1.6046883916122637E-2</v>
      </c>
      <c r="Q399">
        <f t="shared" si="119"/>
        <v>1.5902602397789217E-2</v>
      </c>
      <c r="S399">
        <f t="shared" si="120"/>
        <v>384</v>
      </c>
      <c r="T399">
        <f t="shared" ref="T399:T415" si="126">C399</f>
        <v>299.12199174947045</v>
      </c>
      <c r="U399">
        <f t="shared" ref="U399:U415" si="127">G399</f>
        <v>299.09967060112098</v>
      </c>
      <c r="V399">
        <f t="shared" ref="V399:V415" si="128">M399</f>
        <v>299.10053218049541</v>
      </c>
      <c r="W399">
        <f t="shared" si="121"/>
        <v>2.145956897504675E-2</v>
      </c>
      <c r="X399">
        <f t="shared" si="122"/>
        <v>8.6157937442976618E-4</v>
      </c>
    </row>
    <row r="400" spans="2:24" x14ac:dyDescent="0.25">
      <c r="B400">
        <f t="shared" si="111"/>
        <v>385</v>
      </c>
      <c r="C400">
        <f t="shared" si="112"/>
        <v>299.13779702457003</v>
      </c>
      <c r="D400">
        <f t="shared" si="113"/>
        <v>1.5521067586162618E-2</v>
      </c>
      <c r="F400">
        <f t="shared" ref="F400:F415" si="129">F399+$C$10</f>
        <v>385</v>
      </c>
      <c r="G400">
        <f t="shared" ref="G400:G415" si="130">G399+$C$10/2*(H399+J399)</f>
        <v>299.11573152751112</v>
      </c>
      <c r="H400">
        <f t="shared" si="123"/>
        <v>1.5917842121962296E-2</v>
      </c>
      <c r="I400">
        <f t="shared" si="124"/>
        <v>299.13164936963307</v>
      </c>
      <c r="J400">
        <f t="shared" si="125"/>
        <v>1.5631614914652297E-2</v>
      </c>
      <c r="L400">
        <f t="shared" si="114"/>
        <v>385</v>
      </c>
      <c r="M400">
        <f t="shared" si="115"/>
        <v>299.1165786237778</v>
      </c>
      <c r="N400">
        <f t="shared" si="116"/>
        <v>1.5902610320917734E-2</v>
      </c>
      <c r="O400">
        <f t="shared" si="117"/>
        <v>1.575963479040399E-2</v>
      </c>
      <c r="P400">
        <f t="shared" si="118"/>
        <v>1.5760920252630824E-2</v>
      </c>
      <c r="Q400">
        <f t="shared" si="119"/>
        <v>1.5619204261631908E-2</v>
      </c>
      <c r="S400">
        <f t="shared" si="120"/>
        <v>385</v>
      </c>
      <c r="T400">
        <f t="shared" si="126"/>
        <v>299.13779702457003</v>
      </c>
      <c r="U400">
        <f t="shared" si="127"/>
        <v>299.11573152751112</v>
      </c>
      <c r="V400">
        <f t="shared" si="128"/>
        <v>299.1165786237778</v>
      </c>
      <c r="W400">
        <f t="shared" si="121"/>
        <v>2.1218400792236025E-2</v>
      </c>
      <c r="X400">
        <f t="shared" si="122"/>
        <v>8.4709626668200144E-4</v>
      </c>
    </row>
    <row r="401" spans="2:24" x14ac:dyDescent="0.25">
      <c r="B401">
        <f t="shared" ref="B401:B415" si="131">B400+$C$10</f>
        <v>386</v>
      </c>
      <c r="C401">
        <f t="shared" ref="C401:C415" si="132">C400+$C$10*D400</f>
        <v>299.15331809215621</v>
      </c>
      <c r="D401">
        <f t="shared" ref="D401:D415" si="133">0.3*(C401^(3/4))*(1-(C401/300)^(1/4))</f>
        <v>1.5241959647108441E-2</v>
      </c>
      <c r="F401">
        <f t="shared" si="129"/>
        <v>386</v>
      </c>
      <c r="G401">
        <f t="shared" si="130"/>
        <v>299.13150625602941</v>
      </c>
      <c r="H401">
        <f t="shared" si="123"/>
        <v>1.5634188367715383E-2</v>
      </c>
      <c r="I401">
        <f t="shared" si="124"/>
        <v>299.14714044439711</v>
      </c>
      <c r="J401">
        <f t="shared" si="125"/>
        <v>1.5353050638605715E-2</v>
      </c>
      <c r="L401">
        <f t="shared" ref="L401:L415" si="134">L400+$C$10</f>
        <v>386</v>
      </c>
      <c r="M401">
        <f t="shared" ref="M401:M415" si="135">M400 + (1/6)*(N400+2*O400+2*P400+Q400)</f>
        <v>299.13233911122256</v>
      </c>
      <c r="N401">
        <f t="shared" ref="N401:N415" si="136">$C$10*0.3*(M401^(3/4))*(1-(M401/300)^(1/4))</f>
        <v>1.5619212044349523E-2</v>
      </c>
      <c r="O401">
        <f t="shared" ref="O401:O415" si="137">$C$10*0.3*((M401+N401/2)^(3/4))*(1-((M401+N401/2)/300)^(1/4))</f>
        <v>1.5478778921089398E-2</v>
      </c>
      <c r="P401">
        <f t="shared" ref="P401:P415" si="138">$C$10*0.3*((M401+O401/2)^(3/4))*(1-((M401+O401/2)/300)^(1/4))</f>
        <v>1.5480041574668962E-2</v>
      </c>
      <c r="Q401">
        <f t="shared" ref="Q401:Q415" si="139">$C$10*0.3*((M401+P401)^(3/4))*(1-((M401+P401)/300)^(1/4))</f>
        <v>1.5340845690892672E-2</v>
      </c>
      <c r="S401">
        <f t="shared" si="120"/>
        <v>386</v>
      </c>
      <c r="T401">
        <f t="shared" si="126"/>
        <v>299.15331809215621</v>
      </c>
      <c r="U401">
        <f t="shared" si="127"/>
        <v>299.13150625602941</v>
      </c>
      <c r="V401">
        <f t="shared" si="128"/>
        <v>299.13233911122256</v>
      </c>
      <c r="W401">
        <f t="shared" si="121"/>
        <v>2.0978980933648472E-2</v>
      </c>
      <c r="X401">
        <f t="shared" si="122"/>
        <v>8.3285519315268175E-4</v>
      </c>
    </row>
    <row r="402" spans="2:24" x14ac:dyDescent="0.25">
      <c r="B402">
        <f t="shared" si="131"/>
        <v>387</v>
      </c>
      <c r="C402">
        <f t="shared" si="132"/>
        <v>299.1685600518033</v>
      </c>
      <c r="D402">
        <f t="shared" si="133"/>
        <v>1.4967860172964765E-2</v>
      </c>
      <c r="F402">
        <f t="shared" si="129"/>
        <v>387</v>
      </c>
      <c r="G402">
        <f t="shared" si="130"/>
        <v>299.14699987553257</v>
      </c>
      <c r="H402">
        <f t="shared" si="123"/>
        <v>1.53555784309158E-2</v>
      </c>
      <c r="I402">
        <f t="shared" si="124"/>
        <v>299.16235545396347</v>
      </c>
      <c r="J402">
        <f t="shared" si="125"/>
        <v>1.5079440072436161E-2</v>
      </c>
      <c r="L402">
        <f t="shared" si="134"/>
        <v>387</v>
      </c>
      <c r="M402">
        <f t="shared" si="135"/>
        <v>299.14781872767702</v>
      </c>
      <c r="N402">
        <f t="shared" si="136"/>
        <v>1.534085333566931E-2</v>
      </c>
      <c r="O402">
        <f t="shared" si="137"/>
        <v>1.5202917605244679E-2</v>
      </c>
      <c r="P402">
        <f t="shared" si="138"/>
        <v>1.5204157852260812E-2</v>
      </c>
      <c r="Q402">
        <f t="shared" si="139"/>
        <v>1.5067437452667472E-2</v>
      </c>
      <c r="S402">
        <f t="shared" si="120"/>
        <v>387</v>
      </c>
      <c r="T402">
        <f t="shared" si="126"/>
        <v>299.1685600518033</v>
      </c>
      <c r="U402">
        <f t="shared" si="127"/>
        <v>299.14699987553257</v>
      </c>
      <c r="V402">
        <f t="shared" si="128"/>
        <v>299.14781872767702</v>
      </c>
      <c r="W402">
        <f t="shared" si="121"/>
        <v>2.074132412627705E-2</v>
      </c>
      <c r="X402">
        <f t="shared" si="122"/>
        <v>8.1885214444810117E-4</v>
      </c>
    </row>
    <row r="403" spans="2:24" x14ac:dyDescent="0.25">
      <c r="B403">
        <f t="shared" si="131"/>
        <v>388</v>
      </c>
      <c r="C403">
        <f t="shared" si="132"/>
        <v>299.18352791197628</v>
      </c>
      <c r="D403">
        <f t="shared" si="133"/>
        <v>1.4698679667968522E-2</v>
      </c>
      <c r="F403">
        <f t="shared" si="129"/>
        <v>388</v>
      </c>
      <c r="G403">
        <f t="shared" si="130"/>
        <v>299.16221738478424</v>
      </c>
      <c r="H403">
        <f t="shared" si="123"/>
        <v>1.5081923008913988E-2</v>
      </c>
      <c r="I403">
        <f t="shared" si="124"/>
        <v>299.17729930779313</v>
      </c>
      <c r="J403">
        <f t="shared" si="125"/>
        <v>1.4810695494989101E-2</v>
      </c>
      <c r="L403">
        <f t="shared" si="134"/>
        <v>388</v>
      </c>
      <c r="M403">
        <f t="shared" si="135"/>
        <v>299.1630224679609</v>
      </c>
      <c r="N403">
        <f t="shared" si="136"/>
        <v>1.5067444961931372E-2</v>
      </c>
      <c r="O403">
        <f t="shared" si="137"/>
        <v>1.4931962400007718E-2</v>
      </c>
      <c r="P403">
        <f t="shared" si="138"/>
        <v>1.4933180635540017E-2</v>
      </c>
      <c r="Q403">
        <f t="shared" si="139"/>
        <v>1.4798891880435828E-2</v>
      </c>
      <c r="S403">
        <f t="shared" si="120"/>
        <v>388</v>
      </c>
      <c r="T403">
        <f t="shared" si="126"/>
        <v>299.18352791197628</v>
      </c>
      <c r="U403">
        <f t="shared" si="127"/>
        <v>299.16221738478424</v>
      </c>
      <c r="V403">
        <f t="shared" si="128"/>
        <v>299.1630224679609</v>
      </c>
      <c r="W403">
        <f t="shared" si="121"/>
        <v>2.0505444015384455E-2</v>
      </c>
      <c r="X403">
        <f t="shared" si="122"/>
        <v>8.0508317665817231E-4</v>
      </c>
    </row>
    <row r="404" spans="2:24" x14ac:dyDescent="0.25">
      <c r="B404">
        <f t="shared" si="131"/>
        <v>389</v>
      </c>
      <c r="C404">
        <f t="shared" si="132"/>
        <v>299.19822659164424</v>
      </c>
      <c r="D404">
        <f t="shared" si="133"/>
        <v>1.4434330221991573E-2</v>
      </c>
      <c r="F404">
        <f t="shared" si="129"/>
        <v>389</v>
      </c>
      <c r="G404">
        <f t="shared" si="130"/>
        <v>299.17716369403621</v>
      </c>
      <c r="H404">
        <f t="shared" si="123"/>
        <v>1.4813134366552896E-2</v>
      </c>
      <c r="I404">
        <f t="shared" si="124"/>
        <v>299.19197682840274</v>
      </c>
      <c r="J404">
        <f t="shared" si="125"/>
        <v>1.4546730725338472E-2</v>
      </c>
      <c r="L404">
        <f t="shared" si="134"/>
        <v>389</v>
      </c>
      <c r="M404">
        <f t="shared" si="135"/>
        <v>299.17795523844649</v>
      </c>
      <c r="N404">
        <f t="shared" si="136"/>
        <v>1.4798899256566335E-2</v>
      </c>
      <c r="O404">
        <f t="shared" si="137"/>
        <v>1.4665826415268406E-2</v>
      </c>
      <c r="P404">
        <f t="shared" si="138"/>
        <v>1.4667023027529872E-2</v>
      </c>
      <c r="Q404">
        <f t="shared" si="139"/>
        <v>1.4535122847035556E-2</v>
      </c>
      <c r="S404">
        <f t="shared" si="120"/>
        <v>389</v>
      </c>
      <c r="T404">
        <f t="shared" si="126"/>
        <v>299.19822659164424</v>
      </c>
      <c r="U404">
        <f t="shared" si="127"/>
        <v>299.17716369403621</v>
      </c>
      <c r="V404">
        <f t="shared" si="128"/>
        <v>299.17795523844649</v>
      </c>
      <c r="W404">
        <f t="shared" si="121"/>
        <v>2.0271353197756525E-2</v>
      </c>
      <c r="X404">
        <f t="shared" si="122"/>
        <v>7.9154441027640132E-4</v>
      </c>
    </row>
    <row r="405" spans="2:24" x14ac:dyDescent="0.25">
      <c r="B405">
        <f t="shared" si="131"/>
        <v>390</v>
      </c>
      <c r="C405">
        <f t="shared" si="132"/>
        <v>299.21266092186625</v>
      </c>
      <c r="D405">
        <f t="shared" si="133"/>
        <v>1.4174725482931048E-2</v>
      </c>
      <c r="F405">
        <f t="shared" si="129"/>
        <v>390</v>
      </c>
      <c r="G405">
        <f t="shared" si="130"/>
        <v>299.19184362658217</v>
      </c>
      <c r="H405">
        <f t="shared" si="123"/>
        <v>1.4549126309138575E-2</v>
      </c>
      <c r="I405">
        <f t="shared" si="124"/>
        <v>299.2063927528913</v>
      </c>
      <c r="J405">
        <f t="shared" si="125"/>
        <v>1.4287461096216021E-2</v>
      </c>
      <c r="L405">
        <f t="shared" si="134"/>
        <v>390</v>
      </c>
      <c r="M405">
        <f t="shared" si="135"/>
        <v>299.19262185861135</v>
      </c>
      <c r="N405">
        <f t="shared" si="136"/>
        <v>1.4535130092379793E-2</v>
      </c>
      <c r="O405">
        <f t="shared" si="137"/>
        <v>1.440442428690126E-2</v>
      </c>
      <c r="P405">
        <f t="shared" si="138"/>
        <v>1.4405599657337917E-2</v>
      </c>
      <c r="Q405">
        <f t="shared" si="139"/>
        <v>1.4276045738123159E-2</v>
      </c>
      <c r="S405">
        <f t="shared" si="120"/>
        <v>390</v>
      </c>
      <c r="T405">
        <f t="shared" si="126"/>
        <v>299.21266092186625</v>
      </c>
      <c r="U405">
        <f t="shared" si="127"/>
        <v>299.19184362658217</v>
      </c>
      <c r="V405">
        <f t="shared" si="128"/>
        <v>299.19262185861135</v>
      </c>
      <c r="W405">
        <f t="shared" si="121"/>
        <v>2.0039063254898792E-2</v>
      </c>
      <c r="X405">
        <f t="shared" si="122"/>
        <v>7.7823202917670642E-4</v>
      </c>
    </row>
    <row r="406" spans="2:24" x14ac:dyDescent="0.25">
      <c r="B406">
        <f t="shared" si="131"/>
        <v>391</v>
      </c>
      <c r="C406">
        <f t="shared" si="132"/>
        <v>299.22683564734916</v>
      </c>
      <c r="D406">
        <f t="shared" si="133"/>
        <v>1.3919780629561077E-2</v>
      </c>
      <c r="F406">
        <f t="shared" si="129"/>
        <v>391</v>
      </c>
      <c r="G406">
        <f t="shared" si="130"/>
        <v>299.20626192028487</v>
      </c>
      <c r="H406">
        <f t="shared" si="123"/>
        <v>1.4289814155870221E-2</v>
      </c>
      <c r="I406">
        <f t="shared" si="124"/>
        <v>299.22055173444073</v>
      </c>
      <c r="J406">
        <f t="shared" si="125"/>
        <v>1.4032803427878356E-2</v>
      </c>
      <c r="L406">
        <f t="shared" si="134"/>
        <v>391</v>
      </c>
      <c r="M406">
        <f t="shared" si="135"/>
        <v>299.20702706256452</v>
      </c>
      <c r="N406">
        <f t="shared" si="136"/>
        <v>1.4276052854981635E-2</v>
      </c>
      <c r="O406">
        <f t="shared" si="137"/>
        <v>1.4147672150408359E-2</v>
      </c>
      <c r="P406">
        <f t="shared" si="138"/>
        <v>1.4148826653825568E-2</v>
      </c>
      <c r="Q406">
        <f t="shared" si="139"/>
        <v>1.4021577426036148E-2</v>
      </c>
      <c r="S406">
        <f t="shared" si="120"/>
        <v>391</v>
      </c>
      <c r="T406">
        <f t="shared" si="126"/>
        <v>299.22683564734916</v>
      </c>
      <c r="U406">
        <f t="shared" si="127"/>
        <v>299.20626192028487</v>
      </c>
      <c r="V406">
        <f t="shared" si="128"/>
        <v>299.20702706256452</v>
      </c>
      <c r="W406">
        <f t="shared" si="121"/>
        <v>1.9808584784641425E-2</v>
      </c>
      <c r="X406">
        <f t="shared" si="122"/>
        <v>7.651422796470797E-4</v>
      </c>
    </row>
    <row r="407" spans="2:24" x14ac:dyDescent="0.25">
      <c r="B407">
        <f t="shared" si="131"/>
        <v>392</v>
      </c>
      <c r="C407">
        <f t="shared" si="132"/>
        <v>299.24075542797874</v>
      </c>
      <c r="D407">
        <f t="shared" si="133"/>
        <v>1.3669412344850787E-2</v>
      </c>
      <c r="F407">
        <f t="shared" si="129"/>
        <v>392</v>
      </c>
      <c r="G407">
        <f t="shared" si="130"/>
        <v>299.22042322907674</v>
      </c>
      <c r="H407">
        <f t="shared" si="123"/>
        <v>1.4035114713698204E-2</v>
      </c>
      <c r="I407">
        <f t="shared" si="124"/>
        <v>299.23445834379044</v>
      </c>
      <c r="J407">
        <f t="shared" si="125"/>
        <v>1.3782676002392564E-2</v>
      </c>
      <c r="L407">
        <f t="shared" si="134"/>
        <v>392</v>
      </c>
      <c r="M407">
        <f t="shared" si="135"/>
        <v>299.22117550054611</v>
      </c>
      <c r="N407">
        <f t="shared" si="136"/>
        <v>1.4021584416672299E-2</v>
      </c>
      <c r="O407">
        <f t="shared" si="137"/>
        <v>1.3895487615030134E-2</v>
      </c>
      <c r="P407">
        <f t="shared" si="138"/>
        <v>1.389662161969751E-2</v>
      </c>
      <c r="Q407">
        <f t="shared" si="139"/>
        <v>1.3771636244112264E-2</v>
      </c>
      <c r="S407">
        <f t="shared" si="120"/>
        <v>392</v>
      </c>
      <c r="T407">
        <f t="shared" si="126"/>
        <v>299.24075542797874</v>
      </c>
      <c r="U407">
        <f t="shared" si="127"/>
        <v>299.22042322907674</v>
      </c>
      <c r="V407">
        <f t="shared" si="128"/>
        <v>299.22117550054611</v>
      </c>
      <c r="W407">
        <f t="shared" si="121"/>
        <v>1.9579927432630484E-2</v>
      </c>
      <c r="X407">
        <f t="shared" si="122"/>
        <v>7.5227146936640565E-4</v>
      </c>
    </row>
    <row r="408" spans="2:24" x14ac:dyDescent="0.25">
      <c r="B408">
        <f t="shared" si="131"/>
        <v>393</v>
      </c>
      <c r="C408">
        <f t="shared" si="132"/>
        <v>299.25442484032357</v>
      </c>
      <c r="D408">
        <f t="shared" si="133"/>
        <v>1.3423538789724769E-2</v>
      </c>
      <c r="F408">
        <f t="shared" si="129"/>
        <v>393</v>
      </c>
      <c r="G408">
        <f t="shared" si="130"/>
        <v>299.23433212443479</v>
      </c>
      <c r="H408">
        <f t="shared" si="123"/>
        <v>1.378494625161983E-2</v>
      </c>
      <c r="I408">
        <f t="shared" si="124"/>
        <v>299.24811707068642</v>
      </c>
      <c r="J408">
        <f t="shared" si="125"/>
        <v>1.3536998538392873E-2</v>
      </c>
      <c r="L408">
        <f t="shared" si="134"/>
        <v>393</v>
      </c>
      <c r="M408">
        <f t="shared" si="135"/>
        <v>299.23507174040117</v>
      </c>
      <c r="N408">
        <f t="shared" si="136"/>
        <v>1.3771643110747626E-2</v>
      </c>
      <c r="O408">
        <f t="shared" si="137"/>
        <v>1.3647789738266107E-2</v>
      </c>
      <c r="P408">
        <f t="shared" si="138"/>
        <v>1.3648903606034815E-2</v>
      </c>
      <c r="Q408">
        <f t="shared" si="139"/>
        <v>1.352614196142716E-2</v>
      </c>
      <c r="S408">
        <f t="shared" si="120"/>
        <v>393</v>
      </c>
      <c r="T408">
        <f t="shared" si="126"/>
        <v>299.25442484032357</v>
      </c>
      <c r="U408">
        <f t="shared" si="127"/>
        <v>299.23433212443479</v>
      </c>
      <c r="V408">
        <f t="shared" si="128"/>
        <v>299.23507174040117</v>
      </c>
      <c r="W408">
        <f t="shared" si="121"/>
        <v>1.9353099922398087E-2</v>
      </c>
      <c r="X408">
        <f t="shared" si="122"/>
        <v>7.3961596638127958E-4</v>
      </c>
    </row>
    <row r="409" spans="2:24" x14ac:dyDescent="0.25">
      <c r="B409">
        <f t="shared" si="131"/>
        <v>394</v>
      </c>
      <c r="C409">
        <f t="shared" si="132"/>
        <v>299.26784837911327</v>
      </c>
      <c r="D409">
        <f t="shared" si="133"/>
        <v>1.3182079577258407E-2</v>
      </c>
      <c r="F409">
        <f t="shared" si="129"/>
        <v>394</v>
      </c>
      <c r="G409">
        <f t="shared" si="130"/>
        <v>299.24799309682982</v>
      </c>
      <c r="H409">
        <f t="shared" si="123"/>
        <v>1.353922847540053E-2</v>
      </c>
      <c r="I409">
        <f t="shared" si="124"/>
        <v>299.26153232530521</v>
      </c>
      <c r="J409">
        <f t="shared" si="125"/>
        <v>1.3295692166200208E-2</v>
      </c>
      <c r="L409">
        <f t="shared" si="134"/>
        <v>394</v>
      </c>
      <c r="M409">
        <f t="shared" si="135"/>
        <v>299.24872026902796</v>
      </c>
      <c r="N409">
        <f t="shared" si="136"/>
        <v>1.352614870624845E-2</v>
      </c>
      <c r="O409">
        <f t="shared" si="137"/>
        <v>1.340449900083689E-2</v>
      </c>
      <c r="P409">
        <f t="shared" si="138"/>
        <v>1.340559308724275E-2</v>
      </c>
      <c r="Q409">
        <f t="shared" si="139"/>
        <v>1.328501575796693E-2</v>
      </c>
      <c r="S409">
        <f t="shared" si="120"/>
        <v>394</v>
      </c>
      <c r="T409">
        <f t="shared" si="126"/>
        <v>299.26784837911327</v>
      </c>
      <c r="U409">
        <f t="shared" si="127"/>
        <v>299.24799309682982</v>
      </c>
      <c r="V409">
        <f t="shared" si="128"/>
        <v>299.24872026902796</v>
      </c>
      <c r="W409">
        <f t="shared" si="121"/>
        <v>1.9128110085318895E-2</v>
      </c>
      <c r="X409">
        <f t="shared" si="122"/>
        <v>7.2717219813966949E-4</v>
      </c>
    </row>
    <row r="410" spans="2:24" x14ac:dyDescent="0.25">
      <c r="B410">
        <f t="shared" si="131"/>
        <v>395</v>
      </c>
      <c r="C410">
        <f t="shared" si="132"/>
        <v>299.28103045869051</v>
      </c>
      <c r="D410">
        <f t="shared" si="133"/>
        <v>1.2944955747336801E-2</v>
      </c>
      <c r="F410">
        <f t="shared" si="129"/>
        <v>395</v>
      </c>
      <c r="G410">
        <f t="shared" si="130"/>
        <v>299.26141055715061</v>
      </c>
      <c r="H410">
        <f t="shared" si="123"/>
        <v>1.3297882502737194E-2</v>
      </c>
      <c r="I410">
        <f t="shared" si="124"/>
        <v>299.27470843965335</v>
      </c>
      <c r="J410">
        <f t="shared" si="125"/>
        <v>1.3058679403417178E-2</v>
      </c>
      <c r="L410">
        <f t="shared" si="134"/>
        <v>395</v>
      </c>
      <c r="M410">
        <f t="shared" si="135"/>
        <v>299.26212549380136</v>
      </c>
      <c r="N410">
        <f t="shared" si="136"/>
        <v>1.3285022383118881E-2</v>
      </c>
      <c r="O410">
        <f t="shared" si="137"/>
        <v>1.3165537282046145E-2</v>
      </c>
      <c r="P410">
        <f t="shared" si="138"/>
        <v>1.3166611936420195E-2</v>
      </c>
      <c r="Q410">
        <f t="shared" si="139"/>
        <v>1.3048180200197112E-2</v>
      </c>
      <c r="S410">
        <f t="shared" si="120"/>
        <v>395</v>
      </c>
      <c r="T410">
        <f t="shared" si="126"/>
        <v>299.28103045869051</v>
      </c>
      <c r="U410">
        <f t="shared" si="127"/>
        <v>299.26141055715061</v>
      </c>
      <c r="V410">
        <f t="shared" si="128"/>
        <v>299.26212549380136</v>
      </c>
      <c r="W410">
        <f t="shared" si="121"/>
        <v>1.8904964889145504E-2</v>
      </c>
      <c r="X410">
        <f t="shared" si="122"/>
        <v>7.1493665075195167E-4</v>
      </c>
    </row>
    <row r="411" spans="2:24" x14ac:dyDescent="0.25">
      <c r="B411">
        <f t="shared" si="131"/>
        <v>396</v>
      </c>
      <c r="C411">
        <f t="shared" si="132"/>
        <v>299.29397541443785</v>
      </c>
      <c r="D411">
        <f t="shared" si="133"/>
        <v>1.2712089741695451E-2</v>
      </c>
      <c r="F411">
        <f t="shared" si="129"/>
        <v>396</v>
      </c>
      <c r="G411">
        <f t="shared" si="130"/>
        <v>299.27458883810368</v>
      </c>
      <c r="H411">
        <f t="shared" si="123"/>
        <v>1.3060830838800901E-2</v>
      </c>
      <c r="I411">
        <f t="shared" si="124"/>
        <v>299.28764966894249</v>
      </c>
      <c r="J411">
        <f t="shared" si="125"/>
        <v>1.2825884130885342E-2</v>
      </c>
      <c r="L411">
        <f t="shared" si="134"/>
        <v>396</v>
      </c>
      <c r="M411">
        <f t="shared" si="135"/>
        <v>299.27529174397142</v>
      </c>
      <c r="N411">
        <f t="shared" si="136"/>
        <v>1.3048186707789599E-2</v>
      </c>
      <c r="O411">
        <f t="shared" si="137"/>
        <v>1.2930827835578213E-2</v>
      </c>
      <c r="P411">
        <f t="shared" si="138"/>
        <v>1.293188340115513E-2</v>
      </c>
      <c r="Q411">
        <f t="shared" si="139"/>
        <v>1.2815559217056186E-2</v>
      </c>
      <c r="S411">
        <f t="shared" si="120"/>
        <v>396</v>
      </c>
      <c r="T411">
        <f t="shared" si="126"/>
        <v>299.29397541443785</v>
      </c>
      <c r="U411">
        <f t="shared" si="127"/>
        <v>299.27458883810368</v>
      </c>
      <c r="V411">
        <f t="shared" si="128"/>
        <v>299.27529174397142</v>
      </c>
      <c r="W411">
        <f t="shared" si="121"/>
        <v>1.8683670466430158E-2</v>
      </c>
      <c r="X411">
        <f t="shared" si="122"/>
        <v>7.0290586774035546E-4</v>
      </c>
    </row>
    <row r="412" spans="2:24" x14ac:dyDescent="0.25">
      <c r="B412">
        <f t="shared" si="131"/>
        <v>397</v>
      </c>
      <c r="C412">
        <f t="shared" si="132"/>
        <v>299.30668750417954</v>
      </c>
      <c r="D412">
        <f t="shared" si="133"/>
        <v>1.2483405379431073E-2</v>
      </c>
      <c r="F412">
        <f t="shared" si="129"/>
        <v>397</v>
      </c>
      <c r="G412">
        <f t="shared" si="130"/>
        <v>299.28753219558854</v>
      </c>
      <c r="H412">
        <f t="shared" si="123"/>
        <v>1.2827997352228119E-2</v>
      </c>
      <c r="I412">
        <f t="shared" si="124"/>
        <v>299.30036019294079</v>
      </c>
      <c r="J412">
        <f t="shared" si="125"/>
        <v>1.2597231569073815E-2</v>
      </c>
      <c r="L412">
        <f t="shared" si="134"/>
        <v>397</v>
      </c>
      <c r="M412">
        <f t="shared" si="135"/>
        <v>299.28822327203778</v>
      </c>
      <c r="N412">
        <f t="shared" si="136"/>
        <v>1.2815565609161778E-2</v>
      </c>
      <c r="O412">
        <f t="shared" si="137"/>
        <v>1.2700295265678377E-2</v>
      </c>
      <c r="P412">
        <f t="shared" si="138"/>
        <v>1.2701332079695529E-2</v>
      </c>
      <c r="Q412">
        <f t="shared" si="139"/>
        <v>1.2587078076339926E-2</v>
      </c>
      <c r="S412">
        <f t="shared" ref="S412:S415" si="140">S411+1</f>
        <v>397</v>
      </c>
      <c r="T412">
        <f t="shared" si="126"/>
        <v>299.30668750417954</v>
      </c>
      <c r="U412">
        <f t="shared" si="127"/>
        <v>299.28753219558854</v>
      </c>
      <c r="V412">
        <f t="shared" si="128"/>
        <v>299.28822327203778</v>
      </c>
      <c r="W412">
        <f t="shared" ref="W412:W415" si="141">ABS(T412-V412)</f>
        <v>1.8464232141752746E-2</v>
      </c>
      <c r="X412">
        <f t="shared" ref="X412:X415" si="142">ABS(U412-V412)</f>
        <v>6.9107644924315537E-4</v>
      </c>
    </row>
    <row r="413" spans="2:24" x14ac:dyDescent="0.25">
      <c r="B413">
        <f t="shared" si="131"/>
        <v>398</v>
      </c>
      <c r="C413">
        <f t="shared" si="132"/>
        <v>299.31917090955898</v>
      </c>
      <c r="D413">
        <f t="shared" si="133"/>
        <v>1.225882783288852E-2</v>
      </c>
      <c r="F413">
        <f t="shared" si="129"/>
        <v>398</v>
      </c>
      <c r="G413">
        <f t="shared" si="130"/>
        <v>299.30024481004921</v>
      </c>
      <c r="H413">
        <f t="shared" si="123"/>
        <v>1.2599307251481145E-2</v>
      </c>
      <c r="I413">
        <f t="shared" si="124"/>
        <v>299.3128441173007</v>
      </c>
      <c r="J413">
        <f t="shared" si="125"/>
        <v>1.2372648254841122E-2</v>
      </c>
      <c r="L413">
        <f t="shared" si="134"/>
        <v>398</v>
      </c>
      <c r="M413">
        <f t="shared" si="135"/>
        <v>299.30092425510048</v>
      </c>
      <c r="N413">
        <f t="shared" si="136"/>
        <v>1.258708435499627E-2</v>
      </c>
      <c r="O413">
        <f t="shared" si="137"/>
        <v>1.2473865503748559E-2</v>
      </c>
      <c r="P413">
        <f t="shared" si="138"/>
        <v>1.2474883897550139E-2</v>
      </c>
      <c r="Q413">
        <f t="shared" si="139"/>
        <v>1.2362663361494931E-2</v>
      </c>
      <c r="S413">
        <f t="shared" si="140"/>
        <v>398</v>
      </c>
      <c r="T413">
        <f t="shared" si="126"/>
        <v>299.31917090955898</v>
      </c>
      <c r="U413">
        <f t="shared" si="127"/>
        <v>299.30024481004921</v>
      </c>
      <c r="V413">
        <f t="shared" si="128"/>
        <v>299.30092425510048</v>
      </c>
      <c r="W413">
        <f t="shared" si="141"/>
        <v>1.8246654458494049E-2</v>
      </c>
      <c r="X413">
        <f t="shared" si="142"/>
        <v>6.7944505127570665E-4</v>
      </c>
    </row>
    <row r="414" spans="2:24" x14ac:dyDescent="0.25">
      <c r="B414">
        <f t="shared" si="131"/>
        <v>399</v>
      </c>
      <c r="C414">
        <f t="shared" si="132"/>
        <v>299.33142973739189</v>
      </c>
      <c r="D414">
        <f t="shared" si="133"/>
        <v>1.2038283603985843E-2</v>
      </c>
      <c r="F414">
        <f t="shared" si="129"/>
        <v>399</v>
      </c>
      <c r="G414">
        <f t="shared" si="130"/>
        <v>299.31273078780237</v>
      </c>
      <c r="H414">
        <f t="shared" si="123"/>
        <v>1.2374687061629556E-2</v>
      </c>
      <c r="I414">
        <f t="shared" si="124"/>
        <v>299.32510547486402</v>
      </c>
      <c r="J414">
        <f t="shared" si="125"/>
        <v>1.2152062018617819E-2</v>
      </c>
      <c r="L414">
        <f t="shared" si="134"/>
        <v>399</v>
      </c>
      <c r="M414">
        <f t="shared" si="135"/>
        <v>299.31339879618702</v>
      </c>
      <c r="N414">
        <f t="shared" si="136"/>
        <v>1.2362669528702295E-2</v>
      </c>
      <c r="O414">
        <f t="shared" si="137"/>
        <v>1.2251465785324633E-2</v>
      </c>
      <c r="P414">
        <f t="shared" si="138"/>
        <v>1.2252466084461146E-2</v>
      </c>
      <c r="Q414">
        <f t="shared" si="139"/>
        <v>1.214224294878747E-2</v>
      </c>
      <c r="S414">
        <f t="shared" si="140"/>
        <v>399</v>
      </c>
      <c r="T414">
        <f t="shared" si="126"/>
        <v>299.33142973739189</v>
      </c>
      <c r="U414">
        <f t="shared" si="127"/>
        <v>299.31273078780237</v>
      </c>
      <c r="V414">
        <f t="shared" si="128"/>
        <v>299.31339879618702</v>
      </c>
      <c r="W414">
        <f t="shared" si="141"/>
        <v>1.8030941204870032E-2</v>
      </c>
      <c r="X414">
        <f t="shared" si="142"/>
        <v>6.6800838465042034E-4</v>
      </c>
    </row>
    <row r="415" spans="2:24" x14ac:dyDescent="0.25">
      <c r="B415" s="14">
        <f t="shared" si="131"/>
        <v>400</v>
      </c>
      <c r="C415" s="14">
        <f t="shared" si="132"/>
        <v>299.34346802099589</v>
      </c>
      <c r="D415" s="14">
        <f t="shared" si="133"/>
        <v>1.1821700500914302E-2</v>
      </c>
      <c r="F415" s="14">
        <f t="shared" si="129"/>
        <v>400</v>
      </c>
      <c r="G415" s="14">
        <f t="shared" si="130"/>
        <v>299.32499416234248</v>
      </c>
      <c r="H415" s="14">
        <f t="shared" si="123"/>
        <v>1.2154064601499676E-2</v>
      </c>
      <c r="I415">
        <f t="shared" si="124"/>
        <v>299.33714822694395</v>
      </c>
      <c r="J415">
        <f t="shared" si="125"/>
        <v>1.1935401961937131E-2</v>
      </c>
      <c r="L415" s="14">
        <f t="shared" si="134"/>
        <v>400</v>
      </c>
      <c r="M415" s="14">
        <f t="shared" si="135"/>
        <v>299.32565092555654</v>
      </c>
      <c r="N415" s="14">
        <f t="shared" si="136"/>
        <v>1.2142249006511115E-2</v>
      </c>
      <c r="O415">
        <f t="shared" si="137"/>
        <v>1.2033024627448929E-2</v>
      </c>
      <c r="P415">
        <f t="shared" si="138"/>
        <v>1.2034007151781677E-2</v>
      </c>
      <c r="Q415">
        <f t="shared" si="139"/>
        <v>1.1925745984863496E-2</v>
      </c>
      <c r="S415">
        <f t="shared" si="140"/>
        <v>400</v>
      </c>
      <c r="T415">
        <f t="shared" si="126"/>
        <v>299.34346802099589</v>
      </c>
      <c r="U415">
        <f t="shared" si="127"/>
        <v>299.32499416234248</v>
      </c>
      <c r="V415">
        <f t="shared" si="128"/>
        <v>299.32565092555654</v>
      </c>
      <c r="W415">
        <f t="shared" si="141"/>
        <v>1.7817095439340846E-2</v>
      </c>
      <c r="X415">
        <f t="shared" si="142"/>
        <v>6.5676321406726856E-4</v>
      </c>
    </row>
  </sheetData>
  <mergeCells count="5">
    <mergeCell ref="B2:Q2"/>
    <mergeCell ref="B12:D12"/>
    <mergeCell ref="F12:J12"/>
    <mergeCell ref="L12:Q12"/>
    <mergeCell ref="S12:X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EJERCICIO35-PEZ</vt:lpstr>
      <vt:lpstr>EJERCCICIO41-CRECIMIENTO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Jaquelin Aracely Huanca Mamani</dc:creator>
  <cp:lastModifiedBy>Jaquelin Aracely Huanca Mamani</cp:lastModifiedBy>
  <dcterms:created xsi:type="dcterms:W3CDTF">2025-12-04T02:56:13Z</dcterms:created>
  <dcterms:modified xsi:type="dcterms:W3CDTF">2025-12-04T06:56:04Z</dcterms:modified>
</cp:coreProperties>
</file>